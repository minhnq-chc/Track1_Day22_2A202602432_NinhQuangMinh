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Projects\AI_Thuc_chien_Khoa_IV\02_THUC_HANH\Track1_Day22_2A202602432_NinhQuangMinh\"/>
    </mc:Choice>
  </mc:AlternateContent>
  <xr:revisionPtr revIDLastSave="0" documentId="13_ncr:1_{5FC974AB-4F3E-4626-B76D-5DD5DD8CAE1F}" xr6:coauthVersionLast="47" xr6:coauthVersionMax="47" xr10:uidLastSave="{00000000-0000-0000-0000-000000000000}"/>
  <bookViews>
    <workbookView xWindow="-110" yWindow="-110" windowWidth="19420" windowHeight="11500"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5" l="1"/>
  <c r="C34" i="5"/>
  <c r="B34" i="5"/>
  <c r="B35" i="5" s="1"/>
  <c r="B22" i="5"/>
  <c r="B10" i="5"/>
  <c r="B15" i="5" s="1"/>
  <c r="B16" i="5" s="1"/>
  <c r="B17" i="5" s="1"/>
  <c r="B8" i="5"/>
  <c r="B18" i="4"/>
  <c r="B10" i="4"/>
  <c r="B21" i="4" s="1"/>
  <c r="B51" i="3"/>
  <c r="B34" i="3"/>
  <c r="B31" i="3"/>
  <c r="B30" i="3"/>
  <c r="B16" i="3"/>
  <c r="B15" i="3"/>
  <c r="B13" i="3"/>
  <c r="B12" i="3"/>
  <c r="B77" i="2"/>
  <c r="B64" i="2"/>
  <c r="B54" i="2"/>
  <c r="B43" i="2"/>
  <c r="B74" i="2" s="1"/>
  <c r="B38" i="2"/>
  <c r="B73" i="2" s="1"/>
  <c r="B26" i="2"/>
  <c r="B28" i="2" s="1"/>
  <c r="B25" i="2"/>
  <c r="B24" i="2"/>
  <c r="B23" i="2"/>
  <c r="B11" i="2"/>
  <c r="B18" i="1"/>
  <c r="B12" i="2" l="1"/>
  <c r="B55" i="2" s="1"/>
  <c r="B56" i="2" s="1"/>
  <c r="B27" i="2"/>
  <c r="B31" i="2" s="1"/>
  <c r="B63" i="2" l="1"/>
  <c r="B76" i="2"/>
  <c r="B72" i="2"/>
  <c r="B47" i="2"/>
  <c r="B75" i="2" s="1"/>
  <c r="B29" i="2"/>
  <c r="B29" i="3" l="1"/>
  <c r="B62" i="2"/>
  <c r="B65" i="2" l="1"/>
  <c r="B66" i="2"/>
  <c r="B41" i="3"/>
  <c r="C41" i="3" s="1"/>
  <c r="D41" i="3" s="1"/>
  <c r="B40" i="3"/>
  <c r="C40" i="3" s="1"/>
  <c r="D40" i="3" s="1"/>
  <c r="B39" i="3"/>
  <c r="C39" i="3" s="1"/>
  <c r="D39" i="3" s="1"/>
  <c r="B44" i="3"/>
  <c r="C44" i="3" s="1"/>
  <c r="D44" i="3" s="1"/>
  <c r="B43" i="3"/>
  <c r="C43" i="3" s="1"/>
  <c r="D43" i="3" s="1"/>
  <c r="B42" i="3"/>
  <c r="C42" i="3" s="1"/>
  <c r="D42" i="3" s="1"/>
  <c r="B33" i="3"/>
  <c r="B53" i="3" l="1"/>
  <c r="B20" i="1"/>
  <c r="B35" i="3"/>
  <c r="B69" i="2"/>
  <c r="B5" i="3"/>
  <c r="C73" i="2"/>
  <c r="C72" i="2"/>
  <c r="C76" i="2"/>
  <c r="C77" i="2"/>
  <c r="C75" i="2"/>
  <c r="C74" i="2"/>
  <c r="B67" i="2"/>
  <c r="B16" i="1" l="1"/>
  <c r="B21" i="3"/>
  <c r="B49" i="3"/>
  <c r="B7" i="3"/>
  <c r="B20" i="3"/>
  <c r="B22" i="3" s="1"/>
  <c r="B50" i="3" l="1"/>
  <c r="B25" i="3"/>
  <c r="B17" i="1"/>
  <c r="B23" i="3"/>
  <c r="B52" i="3"/>
  <c r="B6" i="5"/>
  <c r="B9" i="5" s="1"/>
  <c r="B23" i="5" s="1"/>
  <c r="B24" i="5" s="1"/>
  <c r="B19" i="1"/>
  <c r="B2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5" authorId="0" shapeId="0" xr:uid="{00000000-0006-0000-0100-000001000000}">
      <text>
        <r>
          <rPr>
            <sz val="11"/>
            <color theme="1"/>
            <rFont val="Calibri"/>
            <scheme val="minor"/>
          </rPr>
          <t>======
ID#AAACIQEOV6c
Unknown Author    (2026-10-08 02:20:56)
Ví dụ mẫu đang điền sẵn — thay bằng sản phẩm của bạn.</t>
        </r>
      </text>
    </comment>
  </commentList>
</comments>
</file>

<file path=xl/sharedStrings.xml><?xml version="1.0" encoding="utf-8"?>
<sst xmlns="http://schemas.openxmlformats.org/spreadsheetml/2006/main" count="574" uniqueCount="482">
  <si>
    <t>BÁO CÁO MÔ HÌNH MONETIZATION &amp; UNIT ECONOMICS — LAB DAY 22</t>
  </si>
  <si>
    <t>AI Product Manager Track 1 · Trợ lý Tiếp nhận &amp; Phân tầng Y tế AI (Vinmec Clinical Triage)</t>
  </si>
  <si>
    <t>1. THÔNG TIN DỰ ÁN &amp; HỌC VIÊN</t>
  </si>
  <si>
    <t>Học viên thực hiện:</t>
  </si>
  <si>
    <t>Ninh Quang Minh</t>
  </si>
  <si>
    <t>Mã số sinh viên (MSSV):</t>
  </si>
  <si>
    <t>2A202602432</t>
  </si>
  <si>
    <t>Chương trình đào tạo:</t>
  </si>
  <si>
    <t>AI-in-Action Track 1 (AI Product Manager) — Lab Day 22</t>
  </si>
  <si>
    <t>Sản phẩm triển khai:</t>
  </si>
  <si>
    <t>Trợ lý Tiếp nhận &amp; Sơ loại Lâm sàng AI (Clinical Triage &amp; Intake Assistant)</t>
  </si>
  <si>
    <t>Đối tác chiến lược:</t>
  </si>
  <si>
    <t>Hệ thống Y tế Vinmec (7 Bệnh viện Đa khoa Quốc tế &amp; 3 Phòng khám Đa khoa)</t>
  </si>
  <si>
    <t>Kênh phân phối chủ đạo:</t>
  </si>
  <si>
    <t>Partner-Led (Tích hợp kênh Zalo Official Account &amp; Ứng dụng MyVinmec)</t>
  </si>
  <si>
    <t>Mô hình giá (Value Metric):</t>
  </si>
  <si>
    <t>Hybrid: $300 phí nền/tháng/cơ sở + $0,79/ca phân tầng hoàn thành</t>
  </si>
  <si>
    <t>Ngày hoàn thành:</t>
  </si>
  <si>
    <t>08/10/2026</t>
  </si>
  <si>
    <t>2. TỔNG HỢP CÁC CHỈ SỐ KINH TẾ ĐƠN VỊ CỐT LÕI (UNIT ECONOMICS SUMMARY)</t>
  </si>
  <si>
    <t>Chỉ số cốt lõi</t>
  </si>
  <si>
    <t>Giá trị</t>
  </si>
  <si>
    <t>Đơn vị</t>
  </si>
  <si>
    <t>Căn cứ &amp; Ý nghĩa phân tích</t>
  </si>
  <si>
    <t>Chi phí / ca (Cost/Job COGS Biến thể B)</t>
  </si>
  <si>
    <t>$/ca</t>
  </si>
  <si>
    <t>Bao gồm LLM API (prompt caching), Speech, Infra, Retry 7% và Điều dưỡng HITL</t>
  </si>
  <si>
    <t>Giá sàn an toàn (3 × Cost/Job)</t>
  </si>
  <si>
    <t>Hệ số an toàn tối thiểu theo chuẩn kinh tế SaaS AI bảo đảm bù đắp rủi ro</t>
  </si>
  <si>
    <t>Giá bán đề xuất</t>
  </si>
  <si>
    <t>Cạnh tranh cao so với Intercom Fin ($0,99/res) và Zendesk ($1,50/res)</t>
  </si>
  <si>
    <t>Gross Margin mục tiêu</t>
  </si>
  <si>
    <t>%</t>
  </si>
  <si>
    <t>Vượt ngưỡng an toàn 60% của Cloud SaaS và trung bình 53% của AI-native</t>
  </si>
  <si>
    <t>Tỷ lệ tự động hóa hòa vốn (Breakeven)</t>
  </si>
  <si>
    <t>Mô hình vận hành thực tế đạt 78,00%, bảo đảm biên an toàn 7,71%</t>
  </si>
  <si>
    <t>3. MỤC LỤC &amp; CẤU TRÚC WORKBOOK TÀI CHÍNH</t>
  </si>
  <si>
    <t>Tên Sheet</t>
  </si>
  <si>
    <t>Nội dung phân tích</t>
  </si>
  <si>
    <t>Trọng tâm nghiệp vụ</t>
  </si>
  <si>
    <t>1_Cost_Job</t>
  </si>
  <si>
    <t>Bóc tách chi phí Job to be Done (COGS)</t>
  </si>
  <si>
    <t>LLM API, Prompt Caching, Audio STT, Vector DB, Retry và Điều dưỡng HITL</t>
  </si>
  <si>
    <t>2_Pricing</t>
  </si>
  <si>
    <t>Xác định giá sàn 3x, giá trần, Gross Margin</t>
  </si>
  <si>
    <t>Độ nhạy Containment vs Gross Margin, kiểm tra ngưỡng hòa vốn</t>
  </si>
  <si>
    <t>3_Value_Metric</t>
  </si>
  <si>
    <t>Chấm điểm và lựa chọn mô hình định giá</t>
  </si>
  <si>
    <t>Phân tích Attribution (9/10), Autonomy (6/10) và cơ sở chọn Hybrid</t>
  </si>
  <si>
    <t>4_Channel_Fit</t>
  </si>
  <si>
    <t>Đánh giá chi phí CAC và khả thi kênh GTM</t>
  </si>
  <si>
    <t>Đối chiếu CAC Sales-Led vs Partner-Led, ngân sách cho phép</t>
  </si>
  <si>
    <t>5_90Day_Plan</t>
  </si>
  <si>
    <t>Kế hoạch triển khai 90 ngày và Evidence Pack</t>
  </si>
  <si>
    <t>Pain Moment (21:30-23:30), lộ trình 3 giai đoạn và kiểm định Stranger Test</t>
  </si>
  <si>
    <t>6_Benchmarks</t>
  </si>
  <si>
    <t>Bảng dữ liệu tham chiếu giá API và chỉ số ngành</t>
  </si>
  <si>
    <t>Báo cáo Bessemer, ICONIQ và bảng giá chính thức các nền tảng AI 2026</t>
  </si>
  <si>
    <t>TAB 1 — COST/JOB CALCULATOR</t>
  </si>
  <si>
    <t>Trạm 1 (S1–S2) và Trạm 3 (S3–S8). Chỉ điền ô vàng.</t>
  </si>
  <si>
    <t>S1. ĐỊNH NGHĨA JOB</t>
  </si>
  <si>
    <t>1 job của bạn là gì?</t>
  </si>
  <si>
    <t>1 ca tiếp nhận và phân tầng triệu chứng bệnh nhân (bệnh nhân nhận kết quả sơ loại ESI, hướng dẫn đặt chuyên khoa hoặc điều dưỡng tiếp nhận).</t>
  </si>
  <si>
    <t>Phải là thứ KHÁCH coi là giá trị — không phải '1 request'</t>
  </si>
  <si>
    <t>Biến thể HITL: A hay B?</t>
  </si>
  <si>
    <t>B</t>
  </si>
  <si>
    <t>A = khách tự xử lý ca escalate · B = BẠN chịu (outcome/managed)</t>
  </si>
  <si>
    <t>S2. KHỐI LƯỢNG</t>
  </si>
  <si>
    <t>Số job THỬ / tháng</t>
  </si>
  <si>
    <t>job</t>
  </si>
  <si>
    <t>Containment rate (AI tự làm xong)</t>
  </si>
  <si>
    <t>Chưa đo → ước tính và ghi rõ</t>
  </si>
  <si>
    <t>→ Số job HOÀN THÀNH / tháng</t>
  </si>
  <si>
    <t>MẪU SỐ của Cost/Job</t>
  </si>
  <si>
    <t>→ Số job KHÔNG xong / tháng</t>
  </si>
  <si>
    <t>Số ca phải escalate</t>
  </si>
  <si>
    <t>S3. API — LLM</t>
  </si>
  <si>
    <t>Giá input ($ / 1M token)</t>
  </si>
  <si>
    <t>Claude Haiku 4.5 — xem tab 6_Benchmarks</t>
  </si>
  <si>
    <t>Giá output ($ / 1M token)</t>
  </si>
  <si>
    <t>Giá cache WRITE ($ / 1M token)</t>
  </si>
  <si>
    <t>Anthropic API Caching: Phí ghi 1,25x</t>
  </si>
  <si>
    <t>Giá cache READ ($ / 1M token)</t>
  </si>
  <si>
    <t>Anthropic API Caching: Phí đọc 0,10x (giảm 90%)</t>
  </si>
  <si>
    <t>Số lượt (turns) / job</t>
  </si>
  <si>
    <t>lượt</t>
  </si>
  <si>
    <t>Token input CACHE ĐƯỢC / lượt</t>
  </si>
  <si>
    <t>token</t>
  </si>
  <si>
    <t>System prompt + Tri thức chuẩn ESI</t>
  </si>
  <si>
    <t>Token input FRESH / lượt</t>
  </si>
  <si>
    <t>Dữ liệu triệu chứng người bệnh</t>
  </si>
  <si>
    <t>Token output / lượt</t>
  </si>
  <si>
    <t>→ Cache write / job</t>
  </si>
  <si>
    <t>→ Cache read / job</t>
  </si>
  <si>
    <t>→ Input fresh / job</t>
  </si>
  <si>
    <t>→ Output / job</t>
  </si>
  <si>
    <t>→ LLM / job — CÓ prompt caching</t>
  </si>
  <si>
    <t>→ LLM / job — KHÔNG cache</t>
  </si>
  <si>
    <t>→ % tiết kiệm nhờ caching</t>
  </si>
  <si>
    <t>Dùng Batch API? (1 = có, 0 = không)</t>
  </si>
  <si>
    <t>Không áp dụng cho phiên tương tác trực tiếp</t>
  </si>
  <si>
    <t>→ LLM / job sau Batch</t>
  </si>
  <si>
    <t>S4. API — SPEECH (để 0 nếu sản phẩm không có thoại)</t>
  </si>
  <si>
    <t>Giá STT ($ / phút)</t>
  </si>
  <si>
    <t>Đơn giá nhận diện giọng nói streaming</t>
  </si>
  <si>
    <t>Số phút audio / job</t>
  </si>
  <si>
    <t>phút</t>
  </si>
  <si>
    <t>Giá TTS ($ / 1M ký tự)</t>
  </si>
  <si>
    <t>Đơn giá chuyển văn bản thành giọng nói</t>
  </si>
  <si>
    <t>Số ký tự TTS / job</t>
  </si>
  <si>
    <t>ký tự</t>
  </si>
  <si>
    <t>Ước tính thời lượng âm thanh</t>
  </si>
  <si>
    <t>→ Speech / job</t>
  </si>
  <si>
    <t>S5. INFRA</t>
  </si>
  <si>
    <t>Infra / job ($)</t>
  </si>
  <si>
    <t>Vector DB, Embedding, Logging</t>
  </si>
  <si>
    <t>Telephony ($ / phút)</t>
  </si>
  <si>
    <t>→ Infra / job</t>
  </si>
  <si>
    <t>S6. RETRY</t>
  </si>
  <si>
    <t>Tỷ lệ job phải chạy lại</t>
  </si>
  <si>
    <t>→ Retry / job</t>
  </si>
  <si>
    <t>S7. HITL — người trong vòng lặp</t>
  </si>
  <si>
    <t>Chi phí nhân sự ($ / giờ, fully-loaded)</t>
  </si>
  <si>
    <t>Chi phí điều dưỡng trực ca (fully-loaded)</t>
  </si>
  <si>
    <t>% hội thoại QA nội bộ</t>
  </si>
  <si>
    <t>Số phút QA / ca</t>
  </si>
  <si>
    <t>Số phút xử lý 1 ca escalate</t>
  </si>
  <si>
    <t>→ QA nội bộ / tháng</t>
  </si>
  <si>
    <t>→ Escalation / tháng (chỉ Biến thể B)</t>
  </si>
  <si>
    <t>→ Tổng HITL / tháng</t>
  </si>
  <si>
    <t>S8. OVERHEAD (tuỳ chọn)</t>
  </si>
  <si>
    <t>R&amp;D + Sales phân bổ / tháng ($)</t>
  </si>
  <si>
    <t>KẾT QUẢ</t>
  </si>
  <si>
    <t>Chi phí biến đổi / tháng (API + Speech + Infra + Retry)</t>
  </si>
  <si>
    <t>HITL / tháng</t>
  </si>
  <si>
    <t>Overhead / tháng</t>
  </si>
  <si>
    <t>TỔNG CHI PHÍ / tháng</t>
  </si>
  <si>
    <t>★ COST/JOB (chưa overhead)</t>
  </si>
  <si>
    <t>$/job</t>
  </si>
  <si>
    <t>★ COST/JOB (có overhead)</t>
  </si>
  <si>
    <t>Tỷ giá (₫ / USD) — giả định</t>
  </si>
  <si>
    <t>₫/USD</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</si>
  <si>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</si>
  <si>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</si>
  <si>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</si>
  <si>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</si>
  <si>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</si>
  <si>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</si>
  <si>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</si>
  <si>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</si>
  <si>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</si>
  <si>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</si>
  <si>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</si>
  <si>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</si>
  <si>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</si>
  <si>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</si>
  <si>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</si>
  <si>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</si>
  <si>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Bảo đảm biên lợi nhuận gộp ≥ 66,7%</t>
  </si>
  <si>
    <t>→ GIÁ SÀN</t>
  </si>
  <si>
    <t>GIÁ TRẦN — NEO THEO THỨ KHÁCH ĐANG CHI</t>
  </si>
  <si>
    <t>Giá trị khách tiết kiệm được / tháng ($)</t>
  </si>
  <si>
    <t>Tiết kiệm thời gian tiếp nhận &amp; trực cấp cứu</t>
  </si>
  <si>
    <t>Số job / tháng của 1 khách</t>
  </si>
  <si>
    <t>→ Trần theo giá trị — mức 10%</t>
  </si>
  <si>
    <t>→ Trần theo giá trị — mức 25%</t>
  </si>
  <si>
    <t>Lương / tháng của vị trí bị thay ($)</t>
  </si>
  <si>
    <t>Chi phí nhân sự trực tiếp nhận thay thế</t>
  </si>
  <si>
    <t>→ Trần theo nhân công — mức 50%</t>
  </si>
  <si>
    <t>→ Trần theo nhân công — mức 70%</t>
  </si>
  <si>
    <t>GIÁ BÁN CỦA BẠN</t>
  </si>
  <si>
    <t>★ Giá bán đề xuất ($ / job)</t>
  </si>
  <si>
    <t>Định giá theo ca sơ loại hoàn thành</t>
  </si>
  <si>
    <t>→ Bội số so với Cost/Job</t>
  </si>
  <si>
    <t>→ GROSS MARGIN</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</si>
  <si>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</si>
  <si>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</si>
  <si>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</si>
  <si>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</si>
  <si>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</si>
  <si>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</si>
  <si>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</si>
  <si>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</si>
  <si>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</si>
  <si>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 Containment tối thiểu cần đạt</t>
  </si>
  <si>
    <t>Ngưỡng tỷ lệ tự động hóa tối thiểu để không lỗ</t>
  </si>
  <si>
    <t>Containment hiện tại (từ tab 1)</t>
  </si>
  <si>
    <t>→ Kết luận</t>
  </si>
  <si>
    <t>SENSITIVITY — mô hình gãy ở đâu?</t>
  </si>
  <si>
    <t>Containment</t>
  </si>
  <si>
    <t>Cost/Job</t>
  </si>
  <si>
    <t>Gross Margin</t>
  </si>
  <si>
    <t>Đánh giá</t>
  </si>
  <si>
    <t>Nhìn cột Gross Margin: mô hình của bạn mong manh đến mức nào khi AI làm sai nhiều hơn dự kiến?</t>
  </si>
  <si>
    <t>5 CON SỐ PHẢI MANG SANG ONE-PAGER</t>
  </si>
  <si>
    <t>Giá sàn (3×)</t>
  </si>
  <si>
    <t>Breakeven containment</t>
  </si>
  <si>
    <t>TAB 3 — VALUE METRIC SCORECARD</t>
  </si>
  <si>
    <t>ĐÁNH GIÁ MỨC ĐỘ ATTRIBUTION &amp; AUTONOMY CHO VALUE METRIC</t>
  </si>
  <si>
    <t>A. ATTRIBUTION — bạn đo được kết quả là do AI tạo ra không?</t>
  </si>
  <si>
    <t>1. Tôi có log đầy đủ mỗi job AI xử lý, gắn được với kết quả cuối cùng</t>
  </si>
  <si>
    <t>2. Tôi có bộ eval đo được tỷ lệ AI làm đúng, có số liệu</t>
  </si>
  <si>
    <t>3. Khách hàng đồng ý với cách tôi định nghĩa 'thành công' của một job</t>
  </si>
  <si>
    <t>4. Tôi phân biệt được kết quả do AI tạo ra với kết quả do yếu tố khác</t>
  </si>
  <si>
    <t>5. Tôi viết được định nghĩa chặt như Intercom: cái gì tính tiền, cái gì không</t>
  </si>
  <si>
    <t>→ ĐIỂM ATTRIBUTION (tối đa 10)</t>
  </si>
  <si>
    <t>B. AUTONOMY — AI tự chạy hay cần người?</t>
  </si>
  <si>
    <t>1. AI hoàn thành job từ đầu đến cuối, không cần người bấm nút giữa chừng</t>
  </si>
  <si>
    <t>2. Job chạy được ngoài giờ hành chính mà không ai trực</t>
  </si>
  <si>
    <t>3. Khi AI không chắc, nó tự chuyển tiếp đúng chỗ — không cần người phân loại</t>
  </si>
  <si>
    <t>4. Tỷ lệ ca phải có người can thiệp dưới 20%</t>
  </si>
  <si>
    <t>5. Người vận hành chỉ kiểm tra mẫu (QA), không xử lý từng ca</t>
  </si>
  <si>
    <t>→ ĐIỂM AUTONOMY (tối đa 10)</t>
  </si>
  <si>
    <t>GỢI Ý CỦA MODEL</t>
  </si>
  <si>
    <t>→ Value Metric gợi ý</t>
  </si>
  <si>
    <t>Khung đối chiếu quy định ngưỡng phân định mô hình giá (Threshold ≥ 7/10)</t>
  </si>
  <si>
    <t>BENCHMARK NGƯỢC — 2 sản phẩm thật cùng loại job</t>
  </si>
  <si>
    <t>Tên sản phẩm</t>
  </si>
  <si>
    <t>Value Metric</t>
  </si>
  <si>
    <t>Giá công bố</t>
  </si>
  <si>
    <t>Link nguồn</t>
  </si>
  <si>
    <t>Intercom Fin</t>
  </si>
  <si>
    <t>Outcome-based</t>
  </si>
  <si>
    <t>$0,99 / resolution</t>
  </si>
  <si>
    <t>https://fin.ai/pricing/</t>
  </si>
  <si>
    <t>Salesforce Agentforce</t>
  </si>
  <si>
    <t>Usage / Outcome</t>
  </si>
  <si>
    <t>$2,00 / conversation</t>
  </si>
  <si>
    <t>https://www.salesforce.com/agentforce/pricing/</t>
  </si>
  <si>
    <t>QUYẾT ĐỊNH CUỐI</t>
  </si>
  <si>
    <t>Value Metric tôi chọn</t>
  </si>
  <si>
    <t>Hybrid</t>
  </si>
  <si>
    <t>Nếu KHÁC gợi ý — lý do thị trường là gì?</t>
  </si>
  <si>
    <t>Y tế là ngành rủi ro cao. Khách hàng không chấp nhận thanh toán theo token do khó dự toán ngân sách; nhà cung cấp không thể chỉ thu theo outcome nếu không có phí duy trì hạ tầng tuân thủ bảo mật dữ liệu y tế. Mô hình Hybrid ($300 phí nền/tháng/cơ sở + $0,79/ca hoàn thành) giúp cân bằng rủi ro cho cả hai bên.</t>
  </si>
  <si>
    <t>Decision Note — câu 1: tôi chọn đơn vị nào?</t>
  </si>
  <si>
    <t>Đơn vị tính tiền: Hybrid — Phí nền duy trì hạ tầng ($300/tháng/cơ sở) + $0,79/ca tiếp nhận và phân tầng hoàn thành.</t>
  </si>
  <si>
    <t>Decision Note — câu 2: bằng chứng Attribution / Autonomy?</t>
  </si>
  <si>
    <t>Attribution đạt 9/10 do lưu vết đầy đủ session ID và mã ESI vào hệ thống đặt hẹn; Autonomy đạt 6/10 do quy trình y tế bắt buộc có điều dưỡng trực xác nhận ca cờ đỏ (Red Flag) và kiểm toán 6% ca ngẫu nhiên.</t>
  </si>
  <si>
    <t>Decision Note — câu 3: mô hình này lỗ trong tình huống nào?</t>
  </si>
  <si>
    <t>Mô hình lỗ khi tỷ lệ Containment giảm dưới 70,3% (nhiều ca phải chuyển sang điều dưỡng xử lý làm tăng chi phí nhân sự) hoặc chi phí token tăng do mất cache.</t>
  </si>
  <si>
    <t>TAB 4 — CHANNEL FIT &amp; AFFORDABILITY TEST</t>
  </si>
  <si>
    <t>PHÂN TÍCH VÀ LỰA CHỌN KÊNH TIẾP CẬN THỊ TRƯỜNG (GTM)</t>
  </si>
  <si>
    <t>A. NGÂN SÁCH CAC — bạn nuôi nổi kênh nào?</t>
  </si>
  <si>
    <t>ARPU / tháng ($)</t>
  </si>
  <si>
    <t>Gross Margin (từ tab 2_Pricing)</t>
  </si>
  <si>
    <t>Phân khúc (SMB / Mid / Enterprise)</t>
  </si>
  <si>
    <t>Mid</t>
  </si>
  <si>
    <t>→ CAC payback cho phép (tháng)</t>
  </si>
  <si>
    <t>tháng</t>
  </si>
  <si>
    <t>Bessemer, Scaling to $100M (2024)</t>
  </si>
  <si>
    <t>★ NGÂN SÁCH CAC / khách</t>
  </si>
  <si>
    <t>ARPU × GM × số tháng payback</t>
  </si>
  <si>
    <t>→ ACV (giá trị hợp đồng / năm)</t>
  </si>
  <si>
    <t>B. SALES VIABILITY — một AE phải chốt bao nhiêu deal?</t>
  </si>
  <si>
    <t>Quota / AE / năm ($)</t>
  </si>
  <si>
    <t>Tham chiếu Inside Sales Quota (Tunguz SaaS Benchmark)</t>
  </si>
  <si>
    <t>Số ngày làm việc / năm</t>
  </si>
  <si>
    <t>ngày</t>
  </si>
  <si>
    <t>→ Số deal / AE / năm</t>
  </si>
  <si>
    <t>★ Số deal / AE / NGÀY</t>
  </si>
  <si>
    <t>deal/ngày</t>
  </si>
  <si>
    <t>→ Kết luận Sales-Led</t>
  </si>
  <si>
    <t>C. ĐỐI CHIẾU CAC THỰC TẾ CỦA MOTION CÓ SALES</t>
  </si>
  <si>
    <t>Cost per opportunity ($)</t>
  </si>
  <si>
    <t>ICONIQ State of GTM 2026</t>
  </si>
  <si>
    <t>Win rate</t>
  </si>
  <si>
    <t>→ CAC thực tế ước tính / khách</t>
  </si>
  <si>
    <t>★ Lệch bao nhiêu lần so với ngân sách CAC?</t>
  </si>
  <si>
    <t>Hệ số chênh lệch CAC so với ngân sách cho phép</t>
  </si>
  <si>
    <t>D. CHẤM ĐIỂM 3 KÊNH (1 = rất kém, 5 = rất tốt)</t>
  </si>
  <si>
    <t>Tiêu chí</t>
  </si>
  <si>
    <t>PLG</t>
  </si>
  <si>
    <t>Sales-Led</t>
  </si>
  <si>
    <t>Partner-Led</t>
  </si>
  <si>
    <t>1. Ngân sách CAC của tôi nuôi nổi kênh này</t>
  </si>
  <si>
    <t>2. Khách hàng mục tiêu thực sự mua theo cách này</t>
  </si>
  <si>
    <t>3. Đội hiện tại có năng lực chạy kênh này ngay</t>
  </si>
  <si>
    <t>4. Tôi tiếp cận được điểm nhúng / partner trong 30 ngày</t>
  </si>
  <si>
    <t>5. Kênh này đưa tôi đến ĐÚNG Pain Moment</t>
  </si>
  <si>
    <t>6. Tôi đo được hiệu quả trong vòng 90 ngày</t>
  </si>
  <si>
    <t>→ TỔNG ĐIỂM</t>
  </si>
  <si>
    <t>→ Kênh điểm cao nhất</t>
  </si>
  <si>
    <t>E. CHỐT KÊNH</t>
  </si>
  <si>
    <t>★ Kênh tôi chọn cho 90 ngày đầu</t>
  </si>
  <si>
    <t>Nếu Partner-Led: TÊN CÔNG TY partner</t>
  </si>
  <si>
    <t>Hệ thống Y tế Vinmec</t>
  </si>
  <si>
    <t>Đã nói chuyện với họ chưa? (Rồi / Chưa)</t>
  </si>
  <si>
    <t>Rồi</t>
  </si>
  <si>
    <t>Bạn mang lại giá trị gì cho partner?</t>
  </si>
  <si>
    <t>Cung cấp giải pháp phân luồng tự động 24/7 giúp Vinmec giảm tải tổng đài ban đêm, rút ngắn thời gian chờ tại quầy tiếp đón từ 15 phút xuống 2 phút và tăng tỷ lệ đặt hẹn đúng chuyên khoa.</t>
  </si>
  <si>
    <t>Nếu rơi vào vùng không khả thi — lối thoát nào?</t>
  </si>
  <si>
    <t>Chuyển sang Partner-Led để tận dụng tệp bệnh nhân sẵn có trên ứng dụng MyVinmec và Zalo OA Vinmec, chia sẻ doanh thu thay vì chịu chi phí CAC bán hàng trực tiếp quá cao.</t>
  </si>
  <si>
    <t>TAB 5 — PAIN MOMENT · 90-DAY PLAN · EVIDENCE PACK</t>
  </si>
  <si>
    <t>KẾ HOẠCH TRIỂN KHAI 90 NGÀY VÀ BỘ CHỨNG CỨ THƯƠNG MẠI</t>
  </si>
  <si>
    <t>A. PAIN MOMENT — phải đủ 3 phần</t>
  </si>
  <si>
    <t>MẤY GIỜ khách đau nhất?</t>
  </si>
  <si>
    <t>21:30 – 23:30 (ngoài giờ hành chính, phòng khám ngoại trú đóng cửa)</t>
  </si>
  <si>
    <t>Lúc đó họ ĐANG LÀM GÌ?</t>
  </si>
  <si>
    <t>Người bệnh hoặc thân nhân lo lắng khi xuất hiện triệu chứng bất thường, cần xác định mức độ khẩn cấp để quyết định đi cấp cứu hay chờ khám sáng hôm sau</t>
  </si>
  <si>
    <t>Họ đang DÙNG APP / KÊNH NÀO?</t>
  </si>
  <si>
    <t>Zalo Official Account của Vinmec hoặc ứng dụng MyVinmec</t>
  </si>
  <si>
    <t>→ Điểm nhúng cụ thể của bạn</t>
  </si>
  <si>
    <t>Tính năng 'Sơ loại triệu chứng 24/7' tích hợp trong menu Zalo OA Vinmec và ứng dụng MyVinmec</t>
  </si>
  <si>
    <t>B. 90-DAY PLAN</t>
  </si>
  <si>
    <t>THÁNG 1 — Học</t>
  </si>
  <si>
    <t>THÁNG 2–3 — Đòn bẩy</t>
  </si>
  <si>
    <t>THÁNG 4+ — Mở rộng</t>
  </si>
  <si>
    <t>Kênh sử dụng</t>
  </si>
  <si>
    <t>Partner-Led (Pilot tại BV Vinmec Times City)</t>
  </si>
  <si>
    <t>Partner-Led (Mở rộng 7 BV và 3 PK Vinmec)</t>
  </si>
  <si>
    <t>Partner-Led và Inbound (Mở rộng chuỗi y tế tư nhân khác)</t>
  </si>
  <si>
    <t>Mục tiêu số khách</t>
  </si>
  <si>
    <t>1 cơ sở (1.500 ca/tháng)</t>
  </si>
  <si>
    <t>10 cơ sở (12.000 ca/tháng)</t>
  </si>
  <si>
    <t>3 hệ thống mới (40.000 ca/tháng)</t>
  </si>
  <si>
    <t>Việc cụ thể 1</t>
  </si>
  <si>
    <t>Tích hợp API sơ loại vào Zalo OA và cổng tiếp nhận</t>
  </si>
  <si>
    <t>Tích hợp sâu hệ thống HIS/EHR và phân bổ lịch khám</t>
  </si>
  <si>
    <t>Đóng gói giải pháp tích hợp cho các hệ thống bệnh viện khác</t>
  </si>
  <si>
    <t>Việc cụ thể 2</t>
  </si>
  <si>
    <t>Hội đồng chuyên môn chuẩn hóa 30 kịch bản cờ đỏ (Red Flags)</t>
  </si>
  <si>
    <t>Tối ưu hóa prompt caching, nâng containment lên 78–80%</t>
  </si>
  <si>
    <t>Bổ sung tính năng theo dõi triệu chứng sau khám</t>
  </si>
  <si>
    <t>Việc cụ thể 3</t>
  </si>
  <si>
    <t>Thiết lập luồng chuyển tiếp tự động sang điều dưỡng cấp cứu (&lt;90 giây)</t>
  </si>
  <si>
    <t>Xây dựng dashboard theo dõi Attribution và biên lợi nhuận cho ban lãnh đạo</t>
  </si>
  <si>
    <t>Hoàn thiện hồ sơ tuân thủ Nghị định 13/2023/NĐ-CP và ISO 27001</t>
  </si>
  <si>
    <t>KPI đo được</t>
  </si>
  <si>
    <t>Containment 75%, CSAT ≥ 4,5/5, không có sự cố bỏ sót cờ đỏ</t>
  </si>
  <si>
    <t>Containment ≥ 78%, Gross Margin ≥ 71%, thời gian chờ giảm 80%</t>
  </si>
  <si>
    <t>ARR đạt $380.000, CAC Payback &lt; 8 tháng, NRR &gt; 120%</t>
  </si>
  <si>
    <t>Người chịu trách nhiệm</t>
  </si>
  <si>
    <t>Ninh Quang Minh (Product Lead) và Bác sĩ Trưởng khoa Cấp cứu</t>
  </si>
  <si>
    <t>Ninh Quang Minh và Đội ngũ Kỹ thuật HIS</t>
  </si>
  <si>
    <t>Đội ngũ Phát triển kinh doanh và Ninh Quang Minh</t>
  </si>
  <si>
    <t>C. EVIDENCE PACK — 3 tài sản bán hàng</t>
  </si>
  <si>
    <t>Tài sản</t>
  </si>
  <si>
    <t>Đã có? (Rồi/Chưa)</t>
  </si>
  <si>
    <t>Nội dung 1 câu — hoặc việc cần làm</t>
  </si>
  <si>
    <t>Người phụ trách · Deadline</t>
  </si>
  <si>
    <t xml:space="preserve">1. Eval Results </t>
  </si>
  <si>
    <t>Bộ thử nghiệm 960 vignette lâm sàng (Nature Medicine): Độ chính xác 94,2%, undertriage ca cấp cứu &lt; 3,5%, containment 78%, chuyển tiếp điều dưỡng 22%.</t>
  </si>
  <si>
    <t>Ninh Quang Minh · 07/10/2026</t>
  </si>
  <si>
    <t xml:space="preserve">2. Risk Checklist </t>
  </si>
  <si>
    <t>Báo cáo Procurement: Guardrail không chẩn đoán xác định, cam kết Zero Data Retention qua Azure/Anthropic Enterprise, lưu trữ tại Private Cloud Vinmec.</t>
  </si>
  <si>
    <t>Ninh Quang Minh · 08/10/2026</t>
  </si>
  <si>
    <t>3. Pilot Report</t>
  </si>
  <si>
    <t>Chưa</t>
  </si>
  <si>
    <t>Báo cáo thử nghiệm 4 tuần tại BV Vinmec Times City: 1.500 ca tiếp nhận, containment 78%, tiết kiệm 200 giờ trực điều dưỡng, giảm 35% ca chờ tại cấp cứu.</t>
  </si>
  <si>
    <t>Ninh Quang Minh và Trưởng khoa Cấp cứu · 15/11/2026</t>
  </si>
  <si>
    <t>D. ĐÁNH GIÁ ĐỘ MINH BẠCH VÀ SẴN SÀNG (STRANGER TEST)</t>
  </si>
  <si>
    <t>Họ trả lời được: bán gì, cho ai, tính tiền theo đơn vị nào? (Được/Không)</t>
  </si>
  <si>
    <t>Được</t>
  </si>
  <si>
    <t>Họ trả lời được: có lãi trên mỗi đơn vị không, số nào chứng minh? (Được/Không)</t>
  </si>
  <si>
    <t>Họ trả lời được: tiếp cận khách qua đâu, vì sao kênh đó? (Được/Không)</t>
  </si>
  <si>
    <t>Số câu họ phải hỏi lại (mục tiêu ≤ 3)</t>
  </si>
  <si>
    <t>TAB 6 — BENCHMARK THAM CHIẾU GIÁ API VÀ CHỈ SỐ NGÀNH (2026)</t>
  </si>
  <si>
    <t>Dữ liệu tham chiếu chính thức từ tài liệu các nhà cung cấp nền tảng AI và báo cáo thị trường SaaS 2026.</t>
  </si>
  <si>
    <t>Ngày đối chiếu và xác nhận giá</t>
  </si>
  <si>
    <t>Nhóm</t>
  </si>
  <si>
    <t>Mục</t>
  </si>
  <si>
    <t>Giá</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</si>
  <si>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</si>
  <si>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</si>
  <si>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</si>
  <si>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</si>
  <si>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</si>
  <si>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</si>
  <si>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</si>
  <si>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</si>
  <si>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</si>
  <si>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</si>
  <si>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</si>
  <si>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</si>
  <si>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</si>
  <si>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</si>
  <si>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</si>
  <si>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</si>
  <si>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</si>
  <si>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</si>
  <si>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</si>
  <si>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</si>
  <si>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</si>
  <si>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</si>
  <si>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</si>
  <si>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</si>
  <si>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</si>
  <si>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</si>
  <si>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</si>
  <si>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</si>
  <si>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</si>
  <si>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</si>
  <si>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</si>
  <si>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</si>
  <si>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</si>
  <si>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</si>
  <si>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</si>
  <si>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</si>
  <si>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</si>
  <si>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</si>
  <si>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</si>
  <si>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</si>
  <si>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</si>
  <si>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</si>
  <si>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</si>
  <si>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</si>
  <si>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</si>
  <si>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</si>
  <si>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</si>
  <si>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</si>
  <si>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</si>
  <si>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</si>
  <si>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</si>
  <si>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</si>
  <si>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</si>
  <si>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</si>
  <si>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</si>
  <si>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</si>
  <si>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</si>
  <si>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</si>
  <si>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</si>
  <si>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</si>
  <si>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</si>
  <si>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</si>
  <si>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</si>
  <si>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</si>
  <si>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</si>
  <si>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</si>
  <si>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</si>
  <si>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</si>
  <si>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</si>
  <si>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</si>
  <si>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</si>
  <si>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</si>
  <si>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</si>
  <si>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</si>
  <si>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</si>
  <si>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</si>
  <si>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</si>
  <si>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</si>
  <si>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</si>
  <si>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</si>
  <si>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</si>
  <si>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</si>
  <si>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</si>
  <si>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</si>
  <si>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</si>
  <si>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</si>
  <si>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</si>
  <si>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</si>
  <si>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</si>
  <si>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</si>
  <si>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</si>
  <si>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</si>
  <si>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</si>
  <si>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</si>
  <si>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</si>
  <si>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</si>
  <si>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</si>
  <si>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</si>
  <si>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</si>
  <si>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</si>
  <si>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</si>
  <si>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</si>
  <si>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</si>
  <si>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</si>
  <si>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</si>
  <si>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</si>
  <si>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</si>
  <si>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</si>
  <si>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</si>
  <si>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</si>
  <si>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</si>
  <si>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</si>
  <si>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</si>
  <si>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</si>
  <si>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</si>
  <si>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</si>
  <si>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</si>
  <si>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</si>
  <si>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</si>
  <si>
    <t>Lưu ý: trang marketing của nhà cung cấp có thể hiển thị giá cũ hơn trang docs. Ưu tiên trang docs / pricing chính thức.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</si>
</sst>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numFmt numFmtId="166" formatCode="\$#,##0.0000"/>
    <numFmt numFmtId="167" formatCode="#,##0.0"/>
    <numFmt numFmtId="168" formatCode="#,##0&quot; ₫&quot;"/>
    <numFmt numFmtId="169" formatCode="\$#,##0"/>
    <numFmt numFmtId="170" formatCode="#,##0.0\×"/>
  </numFmts>
  <fonts count="7" x14ac:knownFonts="1">
    <font>
      <sz val="11"/>
      <color theme="1"/>
      <name val="Calibri"/>
      <scheme val="minor"/>
    </font>
    <font>
      <sz val="11"/>
      <color theme="1"/>
      <name val="Calibri"/>
    </font>
    <font>
      <b/>
      <sz val="13"/>
      <name val="Times New Roman"/>
    </font>
    <font>
      <sz val="13"/>
      <name val="Times New Roman"/>
    </font>
    <font>
      <b/>
      <sz val="14"/>
      <color rgb="FFFFFFFF"/>
      <name val="Times New Roman"/>
    </font>
    <font>
      <b/>
      <sz val="13"/>
      <color rgb="FF000000"/>
      <name val="Times New Roman"/>
    </font>
    <font>
      <sz val="13"/>
      <color rgb="FF000000"/>
      <name val="Times New Roman"/>
    </font>
  </fonts>
  <fills count="5">
    <fill>
      <patternFill patternType="none"/>
    </fill>
    <fill>
      <patternFill patternType="gray125"/>
    </fill>
    <fill>
      <patternFill patternType="solid">
        <fgColor rgb="FF1F4E79"/>
        <bgColor rgb="FF1F4E79"/>
      </patternFill>
    </fill>
    <fill>
      <patternFill patternType="solid">
        <fgColor rgb="FFEBF1F5"/>
        <bgColor rgb="FFEBF1F5"/>
      </patternFill>
    </fill>
    <fill>
      <patternFill patternType="solid">
        <fgColor rgb="FFE2E8F0"/>
        <bgColor rgb="FFE2E8F0"/>
      </patternFill>
    </fill>
  </fills>
  <borders count="3">
    <border>
      <left/>
      <right/>
      <top/>
      <bottom/>
      <diagonal/>
    </border>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1"/>
  </cellStyleXfs>
  <cellXfs count="35">
    <xf numFmtId="0" fontId="0" fillId="0" borderId="0" xfId="0" applyBorder="1"/>
    <xf numFmtId="0" fontId="3" fillId="0" borderId="0" xfId="0" applyFont="1" applyBorder="1"/>
    <xf numFmtId="0" fontId="2" fillId="0" borderId="0" xfId="0" applyFont="1" applyBorder="1"/>
    <xf numFmtId="0" fontId="4" fillId="2" borderId="1" xfId="0" applyFont="1" applyFill="1"/>
    <xf numFmtId="0" fontId="1" fillId="0" borderId="1" xfId="0" applyFont="1"/>
    <xf numFmtId="0" fontId="5" fillId="3" borderId="0" xfId="0" applyFont="1" applyFill="1" applyBorder="1"/>
    <xf numFmtId="0" fontId="5" fillId="0" borderId="2" xfId="0" applyFont="1" applyBorder="1"/>
    <xf numFmtId="0" fontId="6" fillId="0" borderId="0" xfId="0" applyFont="1" applyBorder="1"/>
    <xf numFmtId="0" fontId="5" fillId="0" borderId="0" xfId="0" applyFont="1" applyBorder="1"/>
    <xf numFmtId="0" fontId="5" fillId="4" borderId="0" xfId="0" applyFont="1" applyFill="1" applyBorder="1"/>
    <xf numFmtId="0" fontId="5" fillId="3" borderId="1" xfId="0" applyFont="1" applyFill="1"/>
    <xf numFmtId="0" fontId="6" fillId="3" borderId="1" xfId="0" applyFont="1" applyFill="1"/>
    <xf numFmtId="0" fontId="6" fillId="0" borderId="2" xfId="0" applyFont="1" applyBorder="1"/>
    <xf numFmtId="0" fontId="6" fillId="0" borderId="2" xfId="0" applyFont="1" applyBorder="1" applyAlignment="1">
      <alignment horizontal="center"/>
    </xf>
    <xf numFmtId="3" fontId="6" fillId="0" borderId="2" xfId="0" applyNumberFormat="1" applyFont="1" applyBorder="1"/>
    <xf numFmtId="164" fontId="6" fillId="0" borderId="2" xfId="0" applyNumberFormat="1" applyFont="1" applyBorder="1"/>
    <xf numFmtId="165" fontId="6" fillId="0" borderId="2" xfId="0" applyNumberFormat="1" applyFont="1" applyBorder="1"/>
    <xf numFmtId="166" fontId="6" fillId="0" borderId="2" xfId="0" applyNumberFormat="1" applyFont="1" applyBorder="1"/>
    <xf numFmtId="166" fontId="5" fillId="0" borderId="2" xfId="0" applyNumberFormat="1" applyFont="1" applyBorder="1"/>
    <xf numFmtId="167" fontId="6" fillId="0" borderId="2" xfId="0" applyNumberFormat="1" applyFont="1" applyBorder="1"/>
    <xf numFmtId="165" fontId="5" fillId="0" borderId="2" xfId="0" applyNumberFormat="1" applyFont="1" applyBorder="1"/>
    <xf numFmtId="168" fontId="6" fillId="0" borderId="2" xfId="0" applyNumberFormat="1" applyFont="1" applyBorder="1"/>
    <xf numFmtId="169" fontId="6" fillId="0" borderId="2" xfId="0" applyNumberFormat="1" applyFont="1" applyBorder="1"/>
    <xf numFmtId="170" fontId="6" fillId="0" borderId="2" xfId="0" applyNumberFormat="1" applyFont="1" applyBorder="1"/>
    <xf numFmtId="164" fontId="5" fillId="0" borderId="2" xfId="0" applyNumberFormat="1" applyFont="1" applyBorder="1"/>
    <xf numFmtId="0" fontId="5" fillId="4" borderId="2" xfId="0" applyFont="1" applyFill="1" applyBorder="1"/>
    <xf numFmtId="164" fontId="6" fillId="4" borderId="2" xfId="0" applyNumberFormat="1" applyFont="1" applyFill="1" applyBorder="1"/>
    <xf numFmtId="3" fontId="5" fillId="0" borderId="2" xfId="0" applyNumberFormat="1" applyFont="1" applyBorder="1"/>
    <xf numFmtId="169" fontId="5" fillId="0" borderId="2" xfId="0" applyNumberFormat="1" applyFont="1" applyBorder="1"/>
    <xf numFmtId="4" fontId="5" fillId="0" borderId="2" xfId="0" applyNumberFormat="1" applyFont="1" applyBorder="1"/>
    <xf numFmtId="170" fontId="5" fillId="0" borderId="2" xfId="0" applyNumberFormat="1" applyFont="1" applyBorder="1"/>
    <xf numFmtId="0" fontId="6" fillId="0" borderId="2" xfId="0" applyFont="1" applyBorder="1" applyAlignment="1">
      <alignment vertical="top" wrapText="1"/>
    </xf>
    <xf numFmtId="0" fontId="4" fillId="2" borderId="2" xfId="0" applyFont="1" applyFill="1" applyBorder="1"/>
    <xf numFmtId="0" fontId="6" fillId="4" borderId="2" xfId="0" applyFont="1" applyFill="1" applyBorder="1" applyAlignment="1">
      <alignment vertical="top"/>
    </xf>
    <xf numFmtId="0" fontId="6"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heetViews>
  <sheetFormatPr defaultColWidth="14.453125" defaultRowHeight="15" customHeight="1" x14ac:dyDescent="0.35"/>
  <cols>
    <col min="1" max="1" width="44" customWidth="1"/>
    <col min="2" max="2" width="30" customWidth="1"/>
    <col min="3" max="3" width="12" customWidth="1"/>
    <col min="4" max="4" width="65" customWidth="1"/>
    <col min="5" max="8" width="12" customWidth="1"/>
    <col min="9" max="26" width="8.7265625" customWidth="1"/>
  </cols>
  <sheetData>
    <row r="1" spans="1:8" ht="24" customHeight="1" x14ac:dyDescent="0.35">
      <c r="A1" s="3" t="s">
        <v>0</v>
      </c>
      <c r="B1" s="4"/>
      <c r="C1" s="4"/>
      <c r="D1" s="4"/>
      <c r="E1" s="4"/>
      <c r="F1" s="4"/>
      <c r="G1" s="4"/>
      <c r="H1" s="4"/>
    </row>
    <row r="2" spans="1:8" ht="14.5" customHeight="1" x14ac:dyDescent="0.35">
      <c r="A2" s="5" t="s">
        <v>1</v>
      </c>
    </row>
    <row r="3" spans="1:8" ht="14.5" customHeight="1" x14ac:dyDescent="0.35"/>
    <row r="4" spans="1:8" ht="14.5" customHeight="1" x14ac:dyDescent="0.35">
      <c r="A4" s="5" t="s">
        <v>2</v>
      </c>
    </row>
    <row r="5" spans="1:8" ht="14.5" customHeight="1" x14ac:dyDescent="0.35">
      <c r="A5" s="6" t="s">
        <v>3</v>
      </c>
      <c r="B5" s="7" t="s">
        <v>4</v>
      </c>
    </row>
    <row r="6" spans="1:8" ht="14.5" customHeight="1" x14ac:dyDescent="0.35">
      <c r="A6" s="6" t="s">
        <v>5</v>
      </c>
      <c r="B6" s="7" t="s">
        <v>6</v>
      </c>
    </row>
    <row r="7" spans="1:8" ht="14.5" customHeight="1" x14ac:dyDescent="0.35">
      <c r="A7" s="6" t="s">
        <v>7</v>
      </c>
      <c r="B7" s="7" t="s">
        <v>8</v>
      </c>
    </row>
    <row r="8" spans="1:8" ht="14.5" customHeight="1" x14ac:dyDescent="0.35">
      <c r="A8" s="6" t="s">
        <v>9</v>
      </c>
      <c r="B8" s="7" t="s">
        <v>10</v>
      </c>
    </row>
    <row r="9" spans="1:8" ht="14.5" customHeight="1" x14ac:dyDescent="0.35">
      <c r="A9" s="8" t="s">
        <v>11</v>
      </c>
      <c r="B9" s="7" t="s">
        <v>12</v>
      </c>
    </row>
    <row r="10" spans="1:8" ht="14.5" customHeight="1" x14ac:dyDescent="0.35">
      <c r="A10" s="8" t="s">
        <v>13</v>
      </c>
      <c r="B10" s="7" t="s">
        <v>14</v>
      </c>
    </row>
    <row r="11" spans="1:8" ht="14.5" customHeight="1" x14ac:dyDescent="0.35">
      <c r="A11" s="8" t="s">
        <v>15</v>
      </c>
      <c r="B11" s="7" t="s">
        <v>16</v>
      </c>
    </row>
    <row r="12" spans="1:8" ht="14.5" customHeight="1" x14ac:dyDescent="0.35">
      <c r="A12" s="8" t="s">
        <v>17</v>
      </c>
      <c r="B12" s="7" t="s">
        <v>18</v>
      </c>
    </row>
    <row r="13" spans="1:8" ht="14.5" customHeight="1" x14ac:dyDescent="0.35">
      <c r="A13" s="2"/>
      <c r="B13" s="1"/>
    </row>
    <row r="14" spans="1:8" ht="14.5" customHeight="1" x14ac:dyDescent="0.35">
      <c r="A14" s="5" t="s">
        <v>19</v>
      </c>
      <c r="B14" s="1"/>
    </row>
    <row r="15" spans="1:8" ht="14.5" customHeight="1" x14ac:dyDescent="0.35">
      <c r="A15" s="9" t="s">
        <v>20</v>
      </c>
      <c r="B15" s="9" t="s">
        <v>21</v>
      </c>
      <c r="C15" s="9" t="s">
        <v>22</v>
      </c>
      <c r="D15" s="9" t="s">
        <v>23</v>
      </c>
    </row>
    <row r="16" spans="1:8" ht="14.5" customHeight="1" x14ac:dyDescent="0.35">
      <c r="A16" s="8" t="s">
        <v>24</v>
      </c>
      <c r="B16" s="7">
        <f>'2_Pricing'!B5</f>
        <v>0.22712190170940169</v>
      </c>
      <c r="C16" s="7" t="s">
        <v>25</v>
      </c>
      <c r="D16" s="7" t="s">
        <v>26</v>
      </c>
    </row>
    <row r="17" spans="1:4" ht="14.5" customHeight="1" x14ac:dyDescent="0.35">
      <c r="A17" s="8" t="s">
        <v>27</v>
      </c>
      <c r="B17" s="7">
        <f>'2_Pricing'!B7</f>
        <v>0.68136570512820505</v>
      </c>
      <c r="C17" s="7" t="s">
        <v>25</v>
      </c>
      <c r="D17" s="7" t="s">
        <v>28</v>
      </c>
    </row>
    <row r="18" spans="1:4" ht="14.5" customHeight="1" x14ac:dyDescent="0.35">
      <c r="A18" s="8" t="s">
        <v>29</v>
      </c>
      <c r="B18" s="7">
        <f>'2_Pricing'!B19</f>
        <v>0.79</v>
      </c>
      <c r="C18" s="7" t="s">
        <v>25</v>
      </c>
      <c r="D18" s="7" t="s">
        <v>30</v>
      </c>
    </row>
    <row r="19" spans="1:4" ht="14.5" customHeight="1" x14ac:dyDescent="0.35">
      <c r="A19" s="8" t="s">
        <v>31</v>
      </c>
      <c r="B19" s="7">
        <f>'2_Pricing'!B21</f>
        <v>0.71250392188683331</v>
      </c>
      <c r="C19" s="7" t="s">
        <v>32</v>
      </c>
      <c r="D19" s="7" t="s">
        <v>33</v>
      </c>
    </row>
    <row r="20" spans="1:4" ht="14.5" customHeight="1" x14ac:dyDescent="0.35">
      <c r="A20" s="8" t="s">
        <v>34</v>
      </c>
      <c r="B20" s="7">
        <f>'2_Pricing'!B33</f>
        <v>0.70291521497405474</v>
      </c>
      <c r="C20" s="7" t="s">
        <v>32</v>
      </c>
      <c r="D20" s="7" t="s">
        <v>35</v>
      </c>
    </row>
    <row r="21" spans="1:4" ht="15.75" customHeight="1" x14ac:dyDescent="0.35">
      <c r="A21" s="1"/>
    </row>
    <row r="22" spans="1:4" ht="15.75" customHeight="1" x14ac:dyDescent="0.35">
      <c r="A22" s="5" t="s">
        <v>36</v>
      </c>
    </row>
    <row r="23" spans="1:4" ht="15.75" customHeight="1" x14ac:dyDescent="0.35">
      <c r="A23" s="9" t="s">
        <v>37</v>
      </c>
      <c r="B23" s="9" t="s">
        <v>38</v>
      </c>
      <c r="C23" s="9"/>
      <c r="D23" s="9" t="s">
        <v>39</v>
      </c>
    </row>
    <row r="24" spans="1:4" ht="15.75" customHeight="1" x14ac:dyDescent="0.35">
      <c r="A24" s="8" t="s">
        <v>40</v>
      </c>
      <c r="B24" s="7" t="s">
        <v>41</v>
      </c>
      <c r="D24" s="7" t="s">
        <v>42</v>
      </c>
    </row>
    <row r="25" spans="1:4" ht="15.75" customHeight="1" x14ac:dyDescent="0.35">
      <c r="A25" s="8" t="s">
        <v>43</v>
      </c>
      <c r="B25" s="7" t="s">
        <v>44</v>
      </c>
      <c r="D25" s="7" t="s">
        <v>45</v>
      </c>
    </row>
    <row r="26" spans="1:4" ht="15.75" customHeight="1" x14ac:dyDescent="0.35">
      <c r="A26" s="8" t="s">
        <v>46</v>
      </c>
      <c r="B26" s="7" t="s">
        <v>47</v>
      </c>
      <c r="D26" s="7" t="s">
        <v>48</v>
      </c>
    </row>
    <row r="27" spans="1:4" ht="15.75" customHeight="1" x14ac:dyDescent="0.35">
      <c r="A27" s="8" t="s">
        <v>49</v>
      </c>
      <c r="B27" s="7" t="s">
        <v>50</v>
      </c>
      <c r="D27" s="7" t="s">
        <v>51</v>
      </c>
    </row>
    <row r="28" spans="1:4" ht="15.75" customHeight="1" x14ac:dyDescent="0.35">
      <c r="A28" s="8" t="s">
        <v>52</v>
      </c>
      <c r="B28" s="7" t="s">
        <v>53</v>
      </c>
      <c r="D28" s="7" t="s">
        <v>54</v>
      </c>
    </row>
    <row r="29" spans="1:4" ht="15.75" customHeight="1" x14ac:dyDescent="0.35">
      <c r="A29" s="8" t="s">
        <v>55</v>
      </c>
      <c r="B29" s="7" t="s">
        <v>56</v>
      </c>
      <c r="D29" s="7" t="s">
        <v>57</v>
      </c>
    </row>
    <row r="30" spans="1:4" ht="15.75" customHeight="1" x14ac:dyDescent="0.35"/>
    <row r="31" spans="1:4" ht="15.75" customHeight="1" x14ac:dyDescent="0.35"/>
    <row r="32" spans="1:4"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heetViews>
  <sheetFormatPr defaultColWidth="14.453125" defaultRowHeight="15" customHeight="1" x14ac:dyDescent="0.35"/>
  <cols>
    <col min="1" max="1" width="46" customWidth="1"/>
    <col min="2" max="2" width="18" customWidth="1"/>
    <col min="3" max="3" width="15" customWidth="1"/>
    <col min="4" max="4" width="45" customWidth="1"/>
    <col min="5" max="8" width="15" customWidth="1"/>
    <col min="9" max="26" width="8.7265625" customWidth="1"/>
  </cols>
  <sheetData>
    <row r="1" spans="1:8" ht="24" customHeight="1" x14ac:dyDescent="0.35">
      <c r="A1" s="3" t="s">
        <v>58</v>
      </c>
      <c r="B1" s="3"/>
      <c r="C1" s="3"/>
      <c r="D1" s="3"/>
      <c r="E1" s="3"/>
      <c r="F1" s="3"/>
      <c r="G1" s="3"/>
      <c r="H1" s="3"/>
    </row>
    <row r="2" spans="1:8" ht="14.5" customHeight="1" x14ac:dyDescent="0.35">
      <c r="A2" s="7" t="s">
        <v>59</v>
      </c>
      <c r="B2" s="7"/>
      <c r="C2" s="7"/>
      <c r="D2" s="7"/>
      <c r="E2" s="7"/>
      <c r="F2" s="7"/>
      <c r="G2" s="7"/>
      <c r="H2" s="7"/>
    </row>
    <row r="3" spans="1:8" ht="14.5" customHeight="1" x14ac:dyDescent="0.35">
      <c r="A3" s="7"/>
      <c r="B3" s="7"/>
      <c r="C3" s="7"/>
      <c r="D3" s="7"/>
      <c r="E3" s="7"/>
      <c r="F3" s="7"/>
      <c r="G3" s="7"/>
      <c r="H3" s="7"/>
    </row>
    <row r="4" spans="1:8" ht="14.5" customHeight="1" x14ac:dyDescent="0.35">
      <c r="A4" s="10" t="s">
        <v>60</v>
      </c>
      <c r="B4" s="11"/>
      <c r="C4" s="11"/>
      <c r="D4" s="11"/>
      <c r="E4" s="11"/>
      <c r="F4" s="11"/>
      <c r="G4" s="11"/>
      <c r="H4" s="11"/>
    </row>
    <row r="5" spans="1:8" ht="14.5" customHeight="1" x14ac:dyDescent="0.35">
      <c r="A5" s="7" t="s">
        <v>61</v>
      </c>
      <c r="B5" s="12" t="s">
        <v>62</v>
      </c>
      <c r="C5" s="7"/>
      <c r="D5" s="7" t="s">
        <v>63</v>
      </c>
      <c r="E5" s="7"/>
      <c r="F5" s="7"/>
      <c r="G5" s="7"/>
      <c r="H5" s="7"/>
    </row>
    <row r="6" spans="1:8" ht="14.5" customHeight="1" x14ac:dyDescent="0.35">
      <c r="A6" s="7" t="s">
        <v>64</v>
      </c>
      <c r="B6" s="13" t="s">
        <v>65</v>
      </c>
      <c r="C6" s="7"/>
      <c r="D6" s="7" t="s">
        <v>66</v>
      </c>
      <c r="E6" s="7"/>
      <c r="F6" s="7"/>
      <c r="G6" s="7"/>
      <c r="H6" s="7"/>
    </row>
    <row r="7" spans="1:8" ht="14.5" customHeight="1" x14ac:dyDescent="0.35">
      <c r="A7" s="7"/>
      <c r="B7" s="7"/>
      <c r="C7" s="7"/>
      <c r="D7" s="7"/>
      <c r="E7" s="7"/>
      <c r="F7" s="7"/>
      <c r="G7" s="7"/>
      <c r="H7" s="7"/>
    </row>
    <row r="8" spans="1:8" ht="14.5" customHeight="1" x14ac:dyDescent="0.35">
      <c r="A8" s="10" t="s">
        <v>67</v>
      </c>
      <c r="B8" s="11"/>
      <c r="C8" s="11"/>
      <c r="D8" s="11"/>
      <c r="E8" s="11"/>
      <c r="F8" s="11"/>
      <c r="G8" s="11"/>
      <c r="H8" s="11"/>
    </row>
    <row r="9" spans="1:8" ht="14.5" customHeight="1" x14ac:dyDescent="0.35">
      <c r="A9" s="7" t="s">
        <v>68</v>
      </c>
      <c r="B9" s="14">
        <v>5000</v>
      </c>
      <c r="C9" s="7" t="s">
        <v>69</v>
      </c>
      <c r="D9" s="7"/>
      <c r="E9" s="7"/>
      <c r="F9" s="7"/>
      <c r="G9" s="7"/>
      <c r="H9" s="7"/>
    </row>
    <row r="10" spans="1:8" ht="14.5" customHeight="1" x14ac:dyDescent="0.35">
      <c r="A10" s="7" t="s">
        <v>70</v>
      </c>
      <c r="B10" s="15">
        <v>0.78</v>
      </c>
      <c r="C10" s="7"/>
      <c r="D10" s="7" t="s">
        <v>71</v>
      </c>
      <c r="E10" s="7"/>
      <c r="F10" s="7"/>
      <c r="G10" s="7"/>
      <c r="H10" s="7"/>
    </row>
    <row r="11" spans="1:8" ht="14.5" customHeight="1" x14ac:dyDescent="0.35">
      <c r="A11" s="7" t="s">
        <v>72</v>
      </c>
      <c r="B11" s="14">
        <f>B9*B10</f>
        <v>3900</v>
      </c>
      <c r="C11" s="7" t="s">
        <v>69</v>
      </c>
      <c r="D11" s="7" t="s">
        <v>73</v>
      </c>
      <c r="E11" s="7"/>
      <c r="F11" s="7"/>
      <c r="G11" s="7"/>
      <c r="H11" s="7"/>
    </row>
    <row r="12" spans="1:8" ht="14.5" customHeight="1" x14ac:dyDescent="0.35">
      <c r="A12" s="7" t="s">
        <v>74</v>
      </c>
      <c r="B12" s="14">
        <f>B9-B11</f>
        <v>1100</v>
      </c>
      <c r="C12" s="7" t="s">
        <v>69</v>
      </c>
      <c r="D12" s="7" t="s">
        <v>75</v>
      </c>
      <c r="E12" s="7"/>
      <c r="F12" s="7"/>
      <c r="G12" s="7"/>
      <c r="H12" s="7"/>
    </row>
    <row r="13" spans="1:8" ht="14.5" customHeight="1" x14ac:dyDescent="0.35">
      <c r="A13" s="7"/>
      <c r="B13" s="7"/>
      <c r="C13" s="7"/>
      <c r="D13" s="7"/>
      <c r="E13" s="7"/>
      <c r="F13" s="7"/>
      <c r="G13" s="7"/>
      <c r="H13" s="7"/>
    </row>
    <row r="14" spans="1:8" ht="14.5" customHeight="1" x14ac:dyDescent="0.35">
      <c r="A14" s="10" t="s">
        <v>76</v>
      </c>
      <c r="B14" s="11"/>
      <c r="C14" s="11"/>
      <c r="D14" s="11"/>
      <c r="E14" s="11"/>
      <c r="F14" s="11"/>
      <c r="G14" s="11"/>
      <c r="H14" s="11"/>
    </row>
    <row r="15" spans="1:8" ht="14.5" customHeight="1" x14ac:dyDescent="0.35">
      <c r="A15" s="7" t="s">
        <v>77</v>
      </c>
      <c r="B15" s="16">
        <v>1</v>
      </c>
      <c r="C15" s="7"/>
      <c r="D15" s="7" t="s">
        <v>78</v>
      </c>
      <c r="E15" s="7"/>
      <c r="F15" s="7"/>
      <c r="G15" s="7"/>
      <c r="H15" s="7"/>
    </row>
    <row r="16" spans="1:8" ht="14.5" customHeight="1" x14ac:dyDescent="0.35">
      <c r="A16" s="7" t="s">
        <v>79</v>
      </c>
      <c r="B16" s="16">
        <v>5</v>
      </c>
      <c r="C16" s="7"/>
      <c r="D16" s="7"/>
      <c r="E16" s="7"/>
      <c r="F16" s="7"/>
      <c r="G16" s="7"/>
      <c r="H16" s="7"/>
    </row>
    <row r="17" spans="1:8" ht="14.5" customHeight="1" x14ac:dyDescent="0.35">
      <c r="A17" s="7" t="s">
        <v>80</v>
      </c>
      <c r="B17" s="16">
        <v>1.25</v>
      </c>
      <c r="C17" s="7"/>
      <c r="D17" s="7" t="s">
        <v>81</v>
      </c>
      <c r="E17" s="7"/>
      <c r="F17" s="7"/>
      <c r="G17" s="7"/>
      <c r="H17" s="7"/>
    </row>
    <row r="18" spans="1:8" ht="14.5" customHeight="1" x14ac:dyDescent="0.35">
      <c r="A18" s="7" t="s">
        <v>82</v>
      </c>
      <c r="B18" s="16">
        <v>0.1</v>
      </c>
      <c r="C18" s="7"/>
      <c r="D18" s="7" t="s">
        <v>83</v>
      </c>
      <c r="E18" s="7"/>
      <c r="F18" s="7"/>
      <c r="G18" s="7"/>
      <c r="H18" s="7"/>
    </row>
    <row r="19" spans="1:8" ht="14.5" customHeight="1" x14ac:dyDescent="0.35">
      <c r="A19" s="7" t="s">
        <v>84</v>
      </c>
      <c r="B19" s="14">
        <v>5</v>
      </c>
      <c r="C19" s="7" t="s">
        <v>85</v>
      </c>
      <c r="D19" s="7"/>
      <c r="E19" s="7"/>
      <c r="F19" s="7"/>
      <c r="G19" s="7"/>
      <c r="H19" s="7"/>
    </row>
    <row r="20" spans="1:8" ht="14.5" customHeight="1" x14ac:dyDescent="0.35">
      <c r="A20" s="7" t="s">
        <v>86</v>
      </c>
      <c r="B20" s="14">
        <v>3500</v>
      </c>
      <c r="C20" s="7" t="s">
        <v>87</v>
      </c>
      <c r="D20" s="7" t="s">
        <v>88</v>
      </c>
      <c r="E20" s="7"/>
      <c r="F20" s="7"/>
      <c r="G20" s="7"/>
      <c r="H20" s="7"/>
    </row>
    <row r="21" spans="1:8" ht="15.75" customHeight="1" x14ac:dyDescent="0.35">
      <c r="A21" s="7" t="s">
        <v>89</v>
      </c>
      <c r="B21" s="14">
        <v>800</v>
      </c>
      <c r="C21" s="7" t="s">
        <v>87</v>
      </c>
      <c r="D21" s="7" t="s">
        <v>90</v>
      </c>
      <c r="E21" s="7"/>
      <c r="F21" s="7"/>
      <c r="G21" s="7"/>
      <c r="H21" s="7"/>
    </row>
    <row r="22" spans="1:8" ht="15.75" customHeight="1" x14ac:dyDescent="0.35">
      <c r="A22" s="7" t="s">
        <v>91</v>
      </c>
      <c r="B22" s="14">
        <v>350</v>
      </c>
      <c r="C22" s="7" t="s">
        <v>87</v>
      </c>
      <c r="D22" s="7"/>
      <c r="E22" s="7"/>
      <c r="F22" s="7"/>
      <c r="G22" s="7"/>
      <c r="H22" s="7"/>
    </row>
    <row r="23" spans="1:8" ht="15.75" customHeight="1" x14ac:dyDescent="0.35">
      <c r="A23" s="7" t="s">
        <v>92</v>
      </c>
      <c r="B23" s="17">
        <f>B20*B17/1000000</f>
        <v>4.3750000000000004E-3</v>
      </c>
      <c r="C23" s="7"/>
      <c r="D23" s="7"/>
      <c r="E23" s="7"/>
      <c r="F23" s="7"/>
      <c r="G23" s="7"/>
      <c r="H23" s="7"/>
    </row>
    <row r="24" spans="1:8" ht="15.75" customHeight="1" x14ac:dyDescent="0.35">
      <c r="A24" s="7" t="s">
        <v>93</v>
      </c>
      <c r="B24" s="17">
        <f>(B19-1)*B20*B18/1000000</f>
        <v>1.4E-3</v>
      </c>
      <c r="C24" s="7"/>
      <c r="D24" s="7"/>
      <c r="E24" s="7"/>
      <c r="F24" s="7"/>
      <c r="G24" s="7"/>
      <c r="H24" s="7"/>
    </row>
    <row r="25" spans="1:8" ht="15.75" customHeight="1" x14ac:dyDescent="0.35">
      <c r="A25" s="7" t="s">
        <v>94</v>
      </c>
      <c r="B25" s="17">
        <f>B19*B21*B15/1000000</f>
        <v>4.0000000000000001E-3</v>
      </c>
      <c r="C25" s="7"/>
      <c r="D25" s="7"/>
      <c r="E25" s="7"/>
      <c r="F25" s="7"/>
      <c r="G25" s="7"/>
      <c r="H25" s="7"/>
    </row>
    <row r="26" spans="1:8" ht="15.75" customHeight="1" x14ac:dyDescent="0.35">
      <c r="A26" s="7" t="s">
        <v>95</v>
      </c>
      <c r="B26" s="17">
        <f>B19*B22*B16/1000000</f>
        <v>8.7500000000000008E-3</v>
      </c>
      <c r="C26" s="7"/>
      <c r="D26" s="7"/>
      <c r="E26" s="7"/>
      <c r="F26" s="7"/>
      <c r="G26" s="7"/>
      <c r="H26" s="7"/>
    </row>
    <row r="27" spans="1:8" ht="15.75" customHeight="1" x14ac:dyDescent="0.35">
      <c r="A27" s="8" t="s">
        <v>96</v>
      </c>
      <c r="B27" s="18">
        <f>SUM(B23:B26)</f>
        <v>1.8525E-2</v>
      </c>
      <c r="C27" s="7"/>
      <c r="D27" s="7"/>
      <c r="E27" s="7"/>
      <c r="F27" s="7"/>
      <c r="G27" s="7"/>
      <c r="H27" s="7"/>
    </row>
    <row r="28" spans="1:8" ht="15.75" customHeight="1" x14ac:dyDescent="0.35">
      <c r="A28" s="7" t="s">
        <v>97</v>
      </c>
      <c r="B28" s="17">
        <f>B19*(B20+B21)*B15/1000000+B26</f>
        <v>3.0249999999999999E-2</v>
      </c>
      <c r="C28" s="7"/>
      <c r="D28" s="7"/>
      <c r="E28" s="7"/>
      <c r="F28" s="7"/>
      <c r="G28" s="7"/>
      <c r="H28" s="7"/>
    </row>
    <row r="29" spans="1:8" ht="15.75" customHeight="1" x14ac:dyDescent="0.35">
      <c r="A29" s="7" t="s">
        <v>98</v>
      </c>
      <c r="B29" s="15">
        <f>IF(B28=0,0,1-B27/B28)</f>
        <v>0.38760330578512392</v>
      </c>
      <c r="C29" s="7"/>
      <c r="D29" s="7"/>
      <c r="E29" s="7"/>
      <c r="F29" s="7"/>
      <c r="G29" s="7"/>
      <c r="H29" s="7"/>
    </row>
    <row r="30" spans="1:8" ht="15.75" customHeight="1" x14ac:dyDescent="0.35">
      <c r="A30" s="7" t="s">
        <v>99</v>
      </c>
      <c r="B30" s="14">
        <v>0</v>
      </c>
      <c r="C30" s="7"/>
      <c r="D30" s="7" t="s">
        <v>100</v>
      </c>
      <c r="E30" s="7"/>
      <c r="F30" s="7"/>
      <c r="G30" s="7"/>
      <c r="H30" s="7"/>
    </row>
    <row r="31" spans="1:8" ht="15.75" customHeight="1" x14ac:dyDescent="0.35">
      <c r="A31" s="8" t="s">
        <v>101</v>
      </c>
      <c r="B31" s="18">
        <f>B27*(1-B30*0.5)</f>
        <v>1.8525E-2</v>
      </c>
      <c r="C31" s="7"/>
      <c r="D31" s="7"/>
      <c r="E31" s="7"/>
      <c r="F31" s="7"/>
      <c r="G31" s="7"/>
      <c r="H31" s="7"/>
    </row>
    <row r="32" spans="1:8" ht="15.75" customHeight="1" x14ac:dyDescent="0.35">
      <c r="A32" s="7"/>
      <c r="B32" s="7"/>
      <c r="C32" s="7"/>
      <c r="D32" s="7"/>
      <c r="E32" s="7"/>
      <c r="F32" s="7"/>
      <c r="G32" s="7"/>
      <c r="H32" s="7"/>
    </row>
    <row r="33" spans="1:8" ht="15.75" customHeight="1" x14ac:dyDescent="0.35">
      <c r="A33" s="10" t="s">
        <v>102</v>
      </c>
      <c r="B33" s="11"/>
      <c r="C33" s="11"/>
      <c r="D33" s="11"/>
      <c r="E33" s="11"/>
      <c r="F33" s="11"/>
      <c r="G33" s="11"/>
      <c r="H33" s="11"/>
    </row>
    <row r="34" spans="1:8" ht="15.75" customHeight="1" x14ac:dyDescent="0.35">
      <c r="A34" s="7" t="s">
        <v>103</v>
      </c>
      <c r="B34" s="17">
        <v>0</v>
      </c>
      <c r="C34" s="7"/>
      <c r="D34" s="7" t="s">
        <v>104</v>
      </c>
      <c r="E34" s="7"/>
      <c r="F34" s="7"/>
      <c r="G34" s="7"/>
      <c r="H34" s="7"/>
    </row>
    <row r="35" spans="1:8" ht="15.75" customHeight="1" x14ac:dyDescent="0.35">
      <c r="A35" s="7" t="s">
        <v>105</v>
      </c>
      <c r="B35" s="19">
        <v>0</v>
      </c>
      <c r="C35" s="7" t="s">
        <v>106</v>
      </c>
      <c r="D35" s="7"/>
      <c r="E35" s="7"/>
      <c r="F35" s="7"/>
      <c r="G35" s="7"/>
      <c r="H35" s="7"/>
    </row>
    <row r="36" spans="1:8" ht="15.75" customHeight="1" x14ac:dyDescent="0.35">
      <c r="A36" s="7" t="s">
        <v>107</v>
      </c>
      <c r="B36" s="16">
        <v>0</v>
      </c>
      <c r="C36" s="7"/>
      <c r="D36" s="7" t="s">
        <v>108</v>
      </c>
      <c r="E36" s="7"/>
      <c r="F36" s="7"/>
      <c r="G36" s="7"/>
      <c r="H36" s="7"/>
    </row>
    <row r="37" spans="1:8" ht="15.75" customHeight="1" x14ac:dyDescent="0.35">
      <c r="A37" s="7" t="s">
        <v>109</v>
      </c>
      <c r="B37" s="14">
        <v>0</v>
      </c>
      <c r="C37" s="7" t="s">
        <v>110</v>
      </c>
      <c r="D37" s="7" t="s">
        <v>111</v>
      </c>
      <c r="E37" s="7"/>
      <c r="F37" s="7"/>
      <c r="G37" s="7"/>
      <c r="H37" s="7"/>
    </row>
    <row r="38" spans="1:8" ht="15.75" customHeight="1" x14ac:dyDescent="0.35">
      <c r="A38" s="7" t="s">
        <v>112</v>
      </c>
      <c r="B38" s="17">
        <f>B34*B35+B36*B37/1000000</f>
        <v>0</v>
      </c>
      <c r="C38" s="7"/>
      <c r="D38" s="7"/>
      <c r="E38" s="7"/>
      <c r="F38" s="7"/>
      <c r="G38" s="7"/>
      <c r="H38" s="7"/>
    </row>
    <row r="39" spans="1:8" ht="15.75" customHeight="1" x14ac:dyDescent="0.35">
      <c r="A39" s="7"/>
      <c r="B39" s="7"/>
      <c r="C39" s="7"/>
      <c r="D39" s="7"/>
      <c r="E39" s="7"/>
      <c r="F39" s="7"/>
      <c r="G39" s="7"/>
      <c r="H39" s="7"/>
    </row>
    <row r="40" spans="1:8" ht="15.75" customHeight="1" x14ac:dyDescent="0.35">
      <c r="A40" s="10" t="s">
        <v>113</v>
      </c>
      <c r="B40" s="11"/>
      <c r="C40" s="11"/>
      <c r="D40" s="11"/>
      <c r="E40" s="11"/>
      <c r="F40" s="11"/>
      <c r="G40" s="11"/>
      <c r="H40" s="11"/>
    </row>
    <row r="41" spans="1:8" ht="15.75" customHeight="1" x14ac:dyDescent="0.35">
      <c r="A41" s="7" t="s">
        <v>114</v>
      </c>
      <c r="B41" s="17">
        <v>8.0000000000000002E-3</v>
      </c>
      <c r="C41" s="7"/>
      <c r="D41" s="7" t="s">
        <v>115</v>
      </c>
      <c r="E41" s="7"/>
      <c r="F41" s="7"/>
      <c r="G41" s="7"/>
      <c r="H41" s="7"/>
    </row>
    <row r="42" spans="1:8" ht="15.75" customHeight="1" x14ac:dyDescent="0.35">
      <c r="A42" s="7" t="s">
        <v>116</v>
      </c>
      <c r="B42" s="17">
        <v>0</v>
      </c>
      <c r="C42" s="7"/>
      <c r="D42" s="7"/>
      <c r="E42" s="7"/>
      <c r="F42" s="7"/>
      <c r="G42" s="7"/>
      <c r="H42" s="7"/>
    </row>
    <row r="43" spans="1:8" ht="15.75" customHeight="1" x14ac:dyDescent="0.35">
      <c r="A43" s="7" t="s">
        <v>117</v>
      </c>
      <c r="B43" s="17">
        <f>B41+B42*B35</f>
        <v>8.0000000000000002E-3</v>
      </c>
      <c r="C43" s="7"/>
      <c r="D43" s="7"/>
      <c r="E43" s="7"/>
      <c r="F43" s="7"/>
      <c r="G43" s="7"/>
      <c r="H43" s="7"/>
    </row>
    <row r="44" spans="1:8" ht="15.75" customHeight="1" x14ac:dyDescent="0.35">
      <c r="A44" s="7"/>
      <c r="B44" s="7"/>
      <c r="C44" s="7"/>
      <c r="D44" s="7"/>
      <c r="E44" s="7"/>
      <c r="F44" s="7"/>
      <c r="G44" s="7"/>
      <c r="H44" s="7"/>
    </row>
    <row r="45" spans="1:8" ht="15.75" customHeight="1" x14ac:dyDescent="0.35">
      <c r="A45" s="10" t="s">
        <v>118</v>
      </c>
      <c r="B45" s="11"/>
      <c r="C45" s="11"/>
      <c r="D45" s="11"/>
      <c r="E45" s="11"/>
      <c r="F45" s="11"/>
      <c r="G45" s="11"/>
      <c r="H45" s="11"/>
    </row>
    <row r="46" spans="1:8" ht="15.75" customHeight="1" x14ac:dyDescent="0.35">
      <c r="A46" s="7" t="s">
        <v>119</v>
      </c>
      <c r="B46" s="15">
        <v>7.0000000000000007E-2</v>
      </c>
      <c r="C46" s="7"/>
      <c r="D46" s="7"/>
      <c r="E46" s="7"/>
      <c r="F46" s="7"/>
      <c r="G46" s="7"/>
      <c r="H46" s="7"/>
    </row>
    <row r="47" spans="1:8" ht="15.75" customHeight="1" x14ac:dyDescent="0.35">
      <c r="A47" s="7" t="s">
        <v>120</v>
      </c>
      <c r="B47" s="17">
        <f>(B31+B38)*B46</f>
        <v>1.2967500000000002E-3</v>
      </c>
      <c r="C47" s="7"/>
      <c r="D47" s="7"/>
      <c r="E47" s="7"/>
      <c r="F47" s="7"/>
      <c r="G47" s="7"/>
      <c r="H47" s="7"/>
    </row>
    <row r="48" spans="1:8" ht="15.75" customHeight="1" x14ac:dyDescent="0.35">
      <c r="A48" s="7"/>
      <c r="B48" s="7"/>
      <c r="C48" s="7"/>
      <c r="D48" s="7"/>
      <c r="E48" s="7"/>
      <c r="F48" s="7"/>
      <c r="G48" s="7"/>
      <c r="H48" s="7"/>
    </row>
    <row r="49" spans="1:8" ht="15.75" customHeight="1" x14ac:dyDescent="0.35">
      <c r="A49" s="10" t="s">
        <v>121</v>
      </c>
      <c r="B49" s="11"/>
      <c r="C49" s="11"/>
      <c r="D49" s="11"/>
      <c r="E49" s="11"/>
      <c r="F49" s="11"/>
      <c r="G49" s="11"/>
      <c r="H49" s="11"/>
    </row>
    <row r="50" spans="1:8" ht="15.75" customHeight="1" x14ac:dyDescent="0.35">
      <c r="A50" s="7" t="s">
        <v>122</v>
      </c>
      <c r="B50" s="16">
        <v>7</v>
      </c>
      <c r="C50" s="7"/>
      <c r="D50" s="7" t="s">
        <v>123</v>
      </c>
      <c r="E50" s="7"/>
      <c r="F50" s="7"/>
      <c r="G50" s="7"/>
      <c r="H50" s="7"/>
    </row>
    <row r="51" spans="1:8" ht="15.75" customHeight="1" x14ac:dyDescent="0.35">
      <c r="A51" s="7" t="s">
        <v>124</v>
      </c>
      <c r="B51" s="15">
        <v>0.06</v>
      </c>
      <c r="C51" s="7"/>
      <c r="D51" s="7"/>
      <c r="E51" s="7"/>
      <c r="F51" s="7"/>
      <c r="G51" s="7"/>
      <c r="H51" s="7"/>
    </row>
    <row r="52" spans="1:8" ht="15.75" customHeight="1" x14ac:dyDescent="0.35">
      <c r="A52" s="7" t="s">
        <v>125</v>
      </c>
      <c r="B52" s="19">
        <v>3</v>
      </c>
      <c r="C52" s="7" t="s">
        <v>106</v>
      </c>
      <c r="D52" s="7"/>
      <c r="E52" s="7"/>
      <c r="F52" s="7"/>
      <c r="G52" s="7"/>
      <c r="H52" s="7"/>
    </row>
    <row r="53" spans="1:8" ht="15.75" customHeight="1" x14ac:dyDescent="0.35">
      <c r="A53" s="7" t="s">
        <v>126</v>
      </c>
      <c r="B53" s="19">
        <v>5</v>
      </c>
      <c r="C53" s="7" t="s">
        <v>106</v>
      </c>
      <c r="D53" s="7"/>
      <c r="E53" s="7"/>
      <c r="F53" s="7"/>
      <c r="G53" s="7"/>
      <c r="H53" s="7"/>
    </row>
    <row r="54" spans="1:8" ht="15.75" customHeight="1" x14ac:dyDescent="0.35">
      <c r="A54" s="7" t="s">
        <v>127</v>
      </c>
      <c r="B54" s="16">
        <f>B9*B51*(B52/60)*B50</f>
        <v>105</v>
      </c>
      <c r="C54" s="7"/>
      <c r="D54" s="7"/>
      <c r="E54" s="7"/>
      <c r="F54" s="7"/>
      <c r="G54" s="7"/>
      <c r="H54" s="7"/>
    </row>
    <row r="55" spans="1:8" ht="15.75" customHeight="1" x14ac:dyDescent="0.35">
      <c r="A55" s="7" t="s">
        <v>128</v>
      </c>
      <c r="B55" s="16">
        <f>IF(B6="B",B12*(B53/60)*B50,0)</f>
        <v>641.66666666666663</v>
      </c>
      <c r="C55" s="7"/>
      <c r="D55" s="7"/>
      <c r="E55" s="7"/>
      <c r="F55" s="7"/>
      <c r="G55" s="7"/>
      <c r="H55" s="7"/>
    </row>
    <row r="56" spans="1:8" ht="15.75" customHeight="1" x14ac:dyDescent="0.35">
      <c r="A56" s="8" t="s">
        <v>129</v>
      </c>
      <c r="B56" s="20">
        <f>B54+B55</f>
        <v>746.66666666666663</v>
      </c>
      <c r="C56" s="7"/>
      <c r="D56" s="7"/>
      <c r="E56" s="7"/>
      <c r="F56" s="7"/>
      <c r="G56" s="7"/>
      <c r="H56" s="7"/>
    </row>
    <row r="57" spans="1:8" ht="15.75" customHeight="1" x14ac:dyDescent="0.35">
      <c r="A57" s="7"/>
      <c r="B57" s="7"/>
      <c r="C57" s="7"/>
      <c r="D57" s="7"/>
      <c r="E57" s="7"/>
      <c r="F57" s="7"/>
      <c r="G57" s="7"/>
      <c r="H57" s="7"/>
    </row>
    <row r="58" spans="1:8" ht="15.75" customHeight="1" x14ac:dyDescent="0.35">
      <c r="A58" s="10" t="s">
        <v>130</v>
      </c>
      <c r="B58" s="11"/>
      <c r="C58" s="11"/>
      <c r="D58" s="11"/>
      <c r="E58" s="11"/>
      <c r="F58" s="11"/>
      <c r="G58" s="11"/>
      <c r="H58" s="11"/>
    </row>
    <row r="59" spans="1:8" ht="15.75" customHeight="1" x14ac:dyDescent="0.35">
      <c r="A59" s="7" t="s">
        <v>131</v>
      </c>
      <c r="B59" s="16">
        <v>0</v>
      </c>
      <c r="C59" s="7"/>
      <c r="D59" s="7"/>
      <c r="E59" s="7"/>
      <c r="F59" s="7"/>
      <c r="G59" s="7"/>
      <c r="H59" s="7"/>
    </row>
    <row r="60" spans="1:8" ht="15.75" customHeight="1" x14ac:dyDescent="0.35">
      <c r="A60" s="7"/>
      <c r="B60" s="7"/>
      <c r="C60" s="7"/>
      <c r="D60" s="7"/>
      <c r="E60" s="7"/>
      <c r="F60" s="7"/>
      <c r="G60" s="7"/>
      <c r="H60" s="7"/>
    </row>
    <row r="61" spans="1:8" ht="15.75" customHeight="1" x14ac:dyDescent="0.35">
      <c r="A61" s="10" t="s">
        <v>132</v>
      </c>
      <c r="B61" s="11"/>
      <c r="C61" s="11"/>
      <c r="D61" s="11"/>
      <c r="E61" s="11"/>
      <c r="F61" s="11"/>
      <c r="G61" s="11"/>
      <c r="H61" s="11"/>
    </row>
    <row r="62" spans="1:8" ht="15.75" customHeight="1" x14ac:dyDescent="0.35">
      <c r="A62" s="7" t="s">
        <v>133</v>
      </c>
      <c r="B62" s="16">
        <f>B9*(B31+B38+B43+B47)</f>
        <v>139.10874999999999</v>
      </c>
      <c r="C62" s="7"/>
      <c r="D62" s="7"/>
      <c r="E62" s="7"/>
      <c r="F62" s="7"/>
      <c r="G62" s="7"/>
      <c r="H62" s="7"/>
    </row>
    <row r="63" spans="1:8" ht="15.75" customHeight="1" x14ac:dyDescent="0.35">
      <c r="A63" s="7" t="s">
        <v>134</v>
      </c>
      <c r="B63" s="16">
        <f>B56</f>
        <v>746.66666666666663</v>
      </c>
      <c r="C63" s="7"/>
      <c r="D63" s="7"/>
      <c r="E63" s="7"/>
      <c r="F63" s="7"/>
      <c r="G63" s="7"/>
      <c r="H63" s="7"/>
    </row>
    <row r="64" spans="1:8" ht="15.75" customHeight="1" x14ac:dyDescent="0.35">
      <c r="A64" s="7" t="s">
        <v>135</v>
      </c>
      <c r="B64" s="16">
        <f>B59</f>
        <v>0</v>
      </c>
      <c r="C64" s="7"/>
      <c r="D64" s="7"/>
      <c r="E64" s="7"/>
      <c r="F64" s="7"/>
      <c r="G64" s="7"/>
      <c r="H64" s="7"/>
    </row>
    <row r="65" spans="1:8" ht="15.75" customHeight="1" x14ac:dyDescent="0.35">
      <c r="A65" s="7" t="s">
        <v>136</v>
      </c>
      <c r="B65" s="16">
        <f>B62+B63+B64</f>
        <v>885.77541666666662</v>
      </c>
      <c r="C65" s="7"/>
      <c r="D65" s="7"/>
      <c r="E65" s="7"/>
      <c r="F65" s="7"/>
      <c r="G65" s="7"/>
      <c r="H65" s="7"/>
    </row>
    <row r="66" spans="1:8" ht="15.75" customHeight="1" x14ac:dyDescent="0.35">
      <c r="A66" s="8" t="s">
        <v>137</v>
      </c>
      <c r="B66" s="18">
        <f>IF(B11=0,0,(B62+B63)/B11)</f>
        <v>0.22712190170940169</v>
      </c>
      <c r="C66" s="7" t="s">
        <v>138</v>
      </c>
      <c r="D66" s="7"/>
      <c r="E66" s="7"/>
      <c r="F66" s="7"/>
      <c r="G66" s="7"/>
      <c r="H66" s="7"/>
    </row>
    <row r="67" spans="1:8" ht="15.75" customHeight="1" x14ac:dyDescent="0.35">
      <c r="A67" s="8" t="s">
        <v>139</v>
      </c>
      <c r="B67" s="18">
        <f>IF(B11=0,0,B65/B11)</f>
        <v>0.22712190170940169</v>
      </c>
      <c r="C67" s="7" t="s">
        <v>138</v>
      </c>
      <c r="D67" s="7"/>
      <c r="E67" s="7"/>
      <c r="F67" s="7"/>
      <c r="G67" s="7"/>
      <c r="H67" s="7"/>
    </row>
    <row r="68" spans="1:8" ht="15.75" customHeight="1" x14ac:dyDescent="0.35">
      <c r="A68" s="7" t="s">
        <v>140</v>
      </c>
      <c r="B68" s="14">
        <v>26000</v>
      </c>
      <c r="C68" s="7" t="s">
        <v>141</v>
      </c>
      <c r="D68" s="7"/>
      <c r="E68" s="7"/>
      <c r="F68" s="7"/>
      <c r="G68" s="7"/>
      <c r="H68" s="7"/>
    </row>
    <row r="69" spans="1:8" ht="15.75" customHeight="1" x14ac:dyDescent="0.35">
      <c r="A69" s="7" t="s">
        <v>142</v>
      </c>
      <c r="B69" s="21">
        <f>B66*B68</f>
        <v>5905.1694444444438</v>
      </c>
      <c r="C69" s="7" t="s">
        <v>143</v>
      </c>
      <c r="D69" s="7"/>
      <c r="E69" s="7"/>
      <c r="F69" s="7"/>
      <c r="G69" s="7"/>
      <c r="H69" s="7"/>
    </row>
    <row r="70" spans="1:8" ht="15.75" customHeight="1" x14ac:dyDescent="0.35">
      <c r="A70" s="7"/>
      <c r="B70" s="7"/>
      <c r="C70" s="7"/>
      <c r="D70" s="7"/>
      <c r="E70" s="7"/>
      <c r="F70" s="7"/>
      <c r="G70" s="7"/>
      <c r="H70" s="7"/>
    </row>
    <row r="71" spans="1:8" ht="15.75" customHeight="1" x14ac:dyDescent="0.35">
      <c r="A71" s="10" t="s">
        <v>144</v>
      </c>
      <c r="B71" s="11"/>
      <c r="C71" s="11"/>
      <c r="D71" s="11"/>
      <c r="E71" s="11"/>
      <c r="F71" s="11"/>
      <c r="G71" s="11"/>
      <c r="H71" s="11"/>
    </row>
    <row r="72" spans="1:8" ht="15.75" customHeight="1" x14ac:dyDescent="0.35">
      <c r="A72" s="7" t="s">
        <v>145</v>
      </c>
      <c r="B72" s="16">
        <f>B9*B31</f>
        <v>92.625</v>
      </c>
      <c r="C72" s="15">
        <f t="shared" ref="C72:C77" si="0">IF($B$65=0,0,B72/$B$65)</f>
        <v>0.10456939564722248</v>
      </c>
      <c r="D72" s="7"/>
      <c r="E72" s="7"/>
      <c r="F72" s="7"/>
      <c r="G72" s="7"/>
      <c r="H72" s="7"/>
    </row>
    <row r="73" spans="1:8" ht="15.75" customHeight="1" x14ac:dyDescent="0.35">
      <c r="A73" s="7" t="s">
        <v>146</v>
      </c>
      <c r="B73" s="16">
        <f>B9*B38</f>
        <v>0</v>
      </c>
      <c r="C73" s="15">
        <f t="shared" si="0"/>
        <v>0</v>
      </c>
      <c r="D73" s="7"/>
      <c r="E73" s="7"/>
      <c r="F73" s="7"/>
      <c r="G73" s="7"/>
      <c r="H73" s="7"/>
    </row>
    <row r="74" spans="1:8" ht="15.75" customHeight="1" x14ac:dyDescent="0.35">
      <c r="A74" s="7" t="s">
        <v>147</v>
      </c>
      <c r="B74" s="16">
        <f>B9*B43</f>
        <v>40</v>
      </c>
      <c r="C74" s="15">
        <f t="shared" si="0"/>
        <v>4.5158173558854507E-2</v>
      </c>
      <c r="D74" s="7"/>
      <c r="E74" s="7"/>
      <c r="F74" s="7"/>
      <c r="G74" s="7"/>
      <c r="H74" s="7"/>
    </row>
    <row r="75" spans="1:8" ht="15.75" customHeight="1" x14ac:dyDescent="0.35">
      <c r="A75" s="7" t="s">
        <v>148</v>
      </c>
      <c r="B75" s="16">
        <f>B9*B47</f>
        <v>6.4837500000000006</v>
      </c>
      <c r="C75" s="15">
        <f t="shared" si="0"/>
        <v>7.3198576953055735E-3</v>
      </c>
      <c r="D75" s="7"/>
      <c r="E75" s="7"/>
      <c r="F75" s="7"/>
      <c r="G75" s="7"/>
      <c r="H75" s="7"/>
    </row>
    <row r="76" spans="1:8" ht="15.75" customHeight="1" x14ac:dyDescent="0.35">
      <c r="A76" s="7" t="s">
        <v>149</v>
      </c>
      <c r="B76" s="16">
        <f>B56</f>
        <v>746.66666666666663</v>
      </c>
      <c r="C76" s="15">
        <f t="shared" si="0"/>
        <v>0.84295257309861749</v>
      </c>
      <c r="D76" s="7"/>
      <c r="E76" s="7"/>
      <c r="F76" s="7"/>
      <c r="G76" s="7"/>
      <c r="H76" s="7"/>
    </row>
    <row r="77" spans="1:8" ht="15.75" customHeight="1" x14ac:dyDescent="0.35">
      <c r="A77" s="7" t="s">
        <v>150</v>
      </c>
      <c r="B77" s="16">
        <f>B59</f>
        <v>0</v>
      </c>
      <c r="C77" s="15">
        <f t="shared" si="0"/>
        <v>0</v>
      </c>
      <c r="D77" s="7"/>
      <c r="E77" s="7"/>
      <c r="F77" s="7"/>
      <c r="G77" s="7"/>
      <c r="H77" s="7"/>
    </row>
    <row r="78" spans="1:8" ht="15.75" customHeight="1" x14ac:dyDescent="0.35">
      <c r="A78" s="7" t="s">
        <v>151</v>
      </c>
      <c r="B78" s="7"/>
      <c r="C78" s="7"/>
      <c r="D78" s="7"/>
      <c r="E78" s="7"/>
      <c r="F78" s="7"/>
      <c r="G78" s="7"/>
      <c r="H78" s="7"/>
    </row>
    <row r="79" spans="1:8" ht="15.75" customHeight="1" x14ac:dyDescent="0.35"/>
    <row r="80" spans="1:8"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6" xr:uid="{00000000-0002-0000-0100-000000000000}">
      <formula1>"A,B"</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4.453125" defaultRowHeight="15" customHeight="1" x14ac:dyDescent="0.35"/>
  <cols>
    <col min="1" max="1" width="46" customWidth="1"/>
    <col min="2" max="2" width="18" customWidth="1"/>
    <col min="3" max="3" width="15" customWidth="1"/>
    <col min="4" max="4" width="45" customWidth="1"/>
    <col min="5" max="8" width="15" customWidth="1"/>
    <col min="9" max="26" width="8.7265625" customWidth="1"/>
  </cols>
  <sheetData>
    <row r="1" spans="1:8" ht="24" customHeight="1" x14ac:dyDescent="0.35">
      <c r="A1" s="3" t="s">
        <v>152</v>
      </c>
      <c r="B1" s="3"/>
      <c r="C1" s="3"/>
      <c r="D1" s="3"/>
      <c r="E1" s="3"/>
      <c r="F1" s="3"/>
      <c r="G1" s="3"/>
      <c r="H1" s="3"/>
    </row>
    <row r="2" spans="1:8" ht="14.5" customHeight="1" x14ac:dyDescent="0.35">
      <c r="A2" s="7" t="s">
        <v>153</v>
      </c>
      <c r="B2" s="7"/>
      <c r="C2" s="7"/>
      <c r="D2" s="7"/>
      <c r="E2" s="7"/>
      <c r="F2" s="7"/>
      <c r="G2" s="7"/>
      <c r="H2" s="7"/>
    </row>
    <row r="3" spans="1:8" ht="14.5" customHeight="1" x14ac:dyDescent="0.35">
      <c r="A3" s="7"/>
      <c r="B3" s="7"/>
      <c r="C3" s="7"/>
      <c r="D3" s="7"/>
      <c r="E3" s="7"/>
      <c r="F3" s="7"/>
      <c r="G3" s="7"/>
      <c r="H3" s="7"/>
    </row>
    <row r="4" spans="1:8" ht="14.5" customHeight="1" x14ac:dyDescent="0.35">
      <c r="A4" s="10" t="s">
        <v>154</v>
      </c>
      <c r="B4" s="11"/>
      <c r="C4" s="11"/>
      <c r="D4" s="11"/>
      <c r="E4" s="11"/>
      <c r="F4" s="11"/>
      <c r="G4" s="11"/>
      <c r="H4" s="11"/>
    </row>
    <row r="5" spans="1:8" ht="14.5" customHeight="1" x14ac:dyDescent="0.35">
      <c r="A5" s="7" t="s">
        <v>155</v>
      </c>
      <c r="B5" s="17">
        <f>'1_Cost_Job'!B66</f>
        <v>0.22712190170940169</v>
      </c>
      <c r="C5" s="7" t="s">
        <v>138</v>
      </c>
      <c r="D5" s="7"/>
      <c r="E5" s="7"/>
      <c r="F5" s="7"/>
      <c r="G5" s="7"/>
      <c r="H5" s="7"/>
    </row>
    <row r="6" spans="1:8" ht="14.5" customHeight="1" x14ac:dyDescent="0.35">
      <c r="A6" s="7" t="s">
        <v>156</v>
      </c>
      <c r="B6" s="19">
        <v>3</v>
      </c>
      <c r="C6" s="7" t="s">
        <v>157</v>
      </c>
      <c r="D6" s="7" t="s">
        <v>158</v>
      </c>
      <c r="E6" s="7"/>
      <c r="F6" s="7"/>
      <c r="G6" s="7"/>
      <c r="H6" s="7"/>
    </row>
    <row r="7" spans="1:8" ht="14.5" customHeight="1" x14ac:dyDescent="0.35">
      <c r="A7" s="8" t="s">
        <v>159</v>
      </c>
      <c r="B7" s="18">
        <f>B5*B6</f>
        <v>0.68136570512820505</v>
      </c>
      <c r="C7" s="7" t="s">
        <v>138</v>
      </c>
      <c r="D7" s="7"/>
      <c r="E7" s="7"/>
      <c r="F7" s="7"/>
      <c r="G7" s="7"/>
      <c r="H7" s="7"/>
    </row>
    <row r="8" spans="1:8" ht="14.5" customHeight="1" x14ac:dyDescent="0.35">
      <c r="A8" s="7"/>
      <c r="B8" s="7"/>
      <c r="C8" s="7"/>
      <c r="D8" s="7"/>
      <c r="E8" s="7"/>
      <c r="F8" s="7"/>
      <c r="G8" s="7"/>
      <c r="H8" s="7"/>
    </row>
    <row r="9" spans="1:8" ht="14.5" customHeight="1" x14ac:dyDescent="0.35">
      <c r="A9" s="10" t="s">
        <v>160</v>
      </c>
      <c r="B9" s="11"/>
      <c r="C9" s="11"/>
      <c r="D9" s="11"/>
      <c r="E9" s="11"/>
      <c r="F9" s="11"/>
      <c r="G9" s="11"/>
      <c r="H9" s="11"/>
    </row>
    <row r="10" spans="1:8" ht="14.5" customHeight="1" x14ac:dyDescent="0.35">
      <c r="A10" s="7" t="s">
        <v>161</v>
      </c>
      <c r="B10" s="22">
        <v>4500</v>
      </c>
      <c r="C10" s="7"/>
      <c r="D10" s="7" t="s">
        <v>162</v>
      </c>
      <c r="E10" s="7"/>
      <c r="F10" s="7"/>
      <c r="G10" s="7"/>
      <c r="H10" s="7"/>
    </row>
    <row r="11" spans="1:8" ht="14.5" customHeight="1" x14ac:dyDescent="0.35">
      <c r="A11" s="7" t="s">
        <v>163</v>
      </c>
      <c r="B11" s="14">
        <v>1000</v>
      </c>
      <c r="C11" s="7" t="s">
        <v>69</v>
      </c>
      <c r="D11" s="7"/>
      <c r="E11" s="7"/>
      <c r="F11" s="7"/>
      <c r="G11" s="7"/>
      <c r="H11" s="7"/>
    </row>
    <row r="12" spans="1:8" ht="14.5" customHeight="1" x14ac:dyDescent="0.35">
      <c r="A12" s="7" t="s">
        <v>164</v>
      </c>
      <c r="B12" s="17">
        <f>IF(B11=0,0,B10*0.1/B11)</f>
        <v>0.45</v>
      </c>
      <c r="C12" s="7" t="s">
        <v>138</v>
      </c>
      <c r="D12" s="7"/>
      <c r="E12" s="7"/>
      <c r="F12" s="7"/>
      <c r="G12" s="7"/>
      <c r="H12" s="7"/>
    </row>
    <row r="13" spans="1:8" ht="14.5" customHeight="1" x14ac:dyDescent="0.35">
      <c r="A13" s="7" t="s">
        <v>165</v>
      </c>
      <c r="B13" s="17">
        <f>IF(B11=0,0,B10*0.25/B11)</f>
        <v>1.125</v>
      </c>
      <c r="C13" s="7" t="s">
        <v>138</v>
      </c>
      <c r="D13" s="7"/>
      <c r="E13" s="7"/>
      <c r="F13" s="7"/>
      <c r="G13" s="7"/>
      <c r="H13" s="7"/>
    </row>
    <row r="14" spans="1:8" ht="14.5" customHeight="1" x14ac:dyDescent="0.35">
      <c r="A14" s="7" t="s">
        <v>166</v>
      </c>
      <c r="B14" s="22">
        <v>1200</v>
      </c>
      <c r="C14" s="7"/>
      <c r="D14" s="7" t="s">
        <v>167</v>
      </c>
      <c r="E14" s="7"/>
      <c r="F14" s="7"/>
      <c r="G14" s="7"/>
      <c r="H14" s="7"/>
    </row>
    <row r="15" spans="1:8" ht="14.5" customHeight="1" x14ac:dyDescent="0.35">
      <c r="A15" s="7" t="s">
        <v>168</v>
      </c>
      <c r="B15" s="17">
        <f>IF(B11=0,0,B14*0.5/B11)</f>
        <v>0.6</v>
      </c>
      <c r="C15" s="7" t="s">
        <v>138</v>
      </c>
      <c r="D15" s="7"/>
      <c r="E15" s="7"/>
      <c r="F15" s="7"/>
      <c r="G15" s="7"/>
      <c r="H15" s="7"/>
    </row>
    <row r="16" spans="1:8" ht="14.5" customHeight="1" x14ac:dyDescent="0.35">
      <c r="A16" s="7" t="s">
        <v>169</v>
      </c>
      <c r="B16" s="17">
        <f>IF(B11=0,0,B14*0.7/B11)</f>
        <v>0.84</v>
      </c>
      <c r="C16" s="7" t="s">
        <v>138</v>
      </c>
      <c r="D16" s="7"/>
      <c r="E16" s="7"/>
      <c r="F16" s="7"/>
      <c r="G16" s="7"/>
      <c r="H16" s="7"/>
    </row>
    <row r="17" spans="1:8" ht="14.5" customHeight="1" x14ac:dyDescent="0.35">
      <c r="A17" s="7"/>
      <c r="B17" s="7"/>
      <c r="C17" s="7"/>
      <c r="D17" s="7"/>
      <c r="E17" s="7"/>
      <c r="F17" s="7"/>
      <c r="G17" s="7"/>
      <c r="H17" s="7"/>
    </row>
    <row r="18" spans="1:8" ht="14.5" customHeight="1" x14ac:dyDescent="0.35">
      <c r="A18" s="10" t="s">
        <v>170</v>
      </c>
      <c r="B18" s="11"/>
      <c r="C18" s="11"/>
      <c r="D18" s="11"/>
      <c r="E18" s="11"/>
      <c r="F18" s="11"/>
      <c r="G18" s="11"/>
      <c r="H18" s="11"/>
    </row>
    <row r="19" spans="1:8" ht="14.5" customHeight="1" x14ac:dyDescent="0.35">
      <c r="A19" s="7" t="s">
        <v>171</v>
      </c>
      <c r="B19" s="17">
        <v>0.79</v>
      </c>
      <c r="C19" s="7" t="s">
        <v>138</v>
      </c>
      <c r="D19" s="7" t="s">
        <v>172</v>
      </c>
      <c r="E19" s="7"/>
      <c r="F19" s="7"/>
      <c r="G19" s="7"/>
      <c r="H19" s="7"/>
    </row>
    <row r="20" spans="1:8" ht="14.5" customHeight="1" x14ac:dyDescent="0.35">
      <c r="A20" s="7" t="s">
        <v>173</v>
      </c>
      <c r="B20" s="23">
        <f>IF(B5=0,0,B19/B5)</f>
        <v>3.4783083183707686</v>
      </c>
      <c r="C20" s="7"/>
      <c r="D20" s="7"/>
      <c r="E20" s="7"/>
      <c r="F20" s="7"/>
      <c r="G20" s="7"/>
      <c r="H20" s="7"/>
    </row>
    <row r="21" spans="1:8" ht="15.75" customHeight="1" x14ac:dyDescent="0.35">
      <c r="A21" s="8" t="s">
        <v>174</v>
      </c>
      <c r="B21" s="24">
        <f>IF(B19=0,0,(B19-B5)/B19)</f>
        <v>0.71250392188683331</v>
      </c>
      <c r="C21" s="7"/>
      <c r="D21" s="7"/>
      <c r="E21" s="7"/>
      <c r="F21" s="7"/>
      <c r="G21" s="7"/>
      <c r="H21" s="7"/>
    </row>
    <row r="22" spans="1:8" ht="15.75" customHeight="1" x14ac:dyDescent="0.35">
      <c r="A22" s="7" t="s">
        <v>175</v>
      </c>
      <c r="B22" s="12" t="str">
        <f>IF(B20&gt;=B6,"OK — ĐẠT","KHÔNG ĐẠT — quay lại tab 1")</f>
        <v>OK — ĐẠT</v>
      </c>
      <c r="C22" s="7"/>
      <c r="D22" s="7"/>
      <c r="E22" s="7"/>
      <c r="F22" s="7"/>
      <c r="G22" s="7"/>
      <c r="H22" s="7"/>
    </row>
    <row r="23" spans="1:8" ht="15.75" customHeight="1" x14ac:dyDescent="0.35">
      <c r="A23" s="7" t="s">
        <v>176</v>
      </c>
      <c r="B23" s="12" t="str">
        <f>IF(B21&gt;=0.6,"OK — AN TOÀN (≥60%)",IF(B21&gt;=0.5,"CẢNH BÁO (50–60%)","NGUY HIỂM (&lt;50%)"))</f>
        <v>OK — AN TOÀN (≥60%)</v>
      </c>
      <c r="C23" s="7"/>
      <c r="D23" s="7"/>
      <c r="E23" s="7"/>
      <c r="F23" s="7"/>
      <c r="G23" s="7"/>
      <c r="H23" s="7"/>
    </row>
    <row r="24" spans="1:8" ht="15.75" customHeight="1" x14ac:dyDescent="0.35">
      <c r="A24" s="7" t="s">
        <v>177</v>
      </c>
      <c r="B24" s="12" t="str">
        <f>IF(B21&gt;0.85,"NGHI NGỜ — nhiều khả năng bạn quên một khoản chi phí","OK")</f>
        <v>OK</v>
      </c>
      <c r="C24" s="7"/>
      <c r="D24" s="7"/>
      <c r="E24" s="7"/>
      <c r="F24" s="7"/>
      <c r="G24" s="7"/>
      <c r="H24" s="7"/>
    </row>
    <row r="25" spans="1:8" ht="15.75" customHeight="1" x14ac:dyDescent="0.35">
      <c r="A25" s="7" t="s">
        <v>178</v>
      </c>
      <c r="B25" s="12" t="str">
        <f>IF(AND(B19&gt;=B7,B19&lt;=MAX(B13,B16)),"OK — trong vùng giá bán","XEM LẠI — ngoài vùng giá sàn/trần")</f>
        <v>OK — trong vùng giá bán</v>
      </c>
      <c r="C25" s="7"/>
      <c r="D25" s="7"/>
      <c r="E25" s="7"/>
      <c r="F25" s="7"/>
      <c r="G25" s="7"/>
      <c r="H25" s="7"/>
    </row>
    <row r="26" spans="1:8" ht="15.75" customHeight="1" x14ac:dyDescent="0.35">
      <c r="A26" s="7"/>
      <c r="B26" s="7"/>
      <c r="C26" s="7"/>
      <c r="D26" s="7"/>
      <c r="E26" s="7"/>
      <c r="F26" s="7"/>
      <c r="G26" s="7"/>
      <c r="H26" s="7"/>
    </row>
    <row r="27" spans="1:8" ht="15.75" customHeight="1" x14ac:dyDescent="0.35">
      <c r="A27" s="10" t="s">
        <v>179</v>
      </c>
      <c r="B27" s="11"/>
      <c r="C27" s="11"/>
      <c r="D27" s="11"/>
      <c r="E27" s="11"/>
      <c r="F27" s="11"/>
      <c r="G27" s="11"/>
      <c r="H27" s="11"/>
    </row>
    <row r="28" spans="1:8" ht="15.75" customHeight="1" x14ac:dyDescent="0.35">
      <c r="A28" s="7" t="s">
        <v>180</v>
      </c>
      <c r="B28" s="7"/>
      <c r="C28" s="7"/>
      <c r="D28" s="7"/>
      <c r="E28" s="7"/>
      <c r="F28" s="7"/>
      <c r="G28" s="7"/>
      <c r="H28" s="7"/>
    </row>
    <row r="29" spans="1:8" ht="15.75" customHeight="1" x14ac:dyDescent="0.35">
      <c r="A29" s="7" t="s">
        <v>181</v>
      </c>
      <c r="B29" s="17">
        <f>'1_Cost_Job'!B31+'1_Cost_Job'!B38+'1_Cost_Job'!B43+'1_Cost_Job'!B47</f>
        <v>2.7821749999999999E-2</v>
      </c>
      <c r="C29" s="7"/>
      <c r="D29" s="7"/>
      <c r="E29" s="7"/>
      <c r="F29" s="7"/>
      <c r="G29" s="7"/>
      <c r="H29" s="7"/>
    </row>
    <row r="30" spans="1:8" ht="15.75" customHeight="1" x14ac:dyDescent="0.35">
      <c r="A30" s="7" t="s">
        <v>182</v>
      </c>
      <c r="B30" s="17">
        <f>'1_Cost_Job'!B51*('1_Cost_Job'!B52/60)*'1_Cost_Job'!B50</f>
        <v>2.1000000000000001E-2</v>
      </c>
      <c r="C30" s="7"/>
      <c r="D30" s="7"/>
      <c r="E30" s="7"/>
      <c r="F30" s="7"/>
      <c r="G30" s="7"/>
      <c r="H30" s="7"/>
    </row>
    <row r="31" spans="1:8" ht="15.75" customHeight="1" x14ac:dyDescent="0.35">
      <c r="A31" s="7" t="s">
        <v>183</v>
      </c>
      <c r="B31" s="17">
        <f>IF('1_Cost_Job'!B6="B",('1_Cost_Job'!B53/60)*'1_Cost_Job'!B50,0)</f>
        <v>0.58333333333333326</v>
      </c>
      <c r="C31" s="7"/>
      <c r="D31" s="7"/>
      <c r="E31" s="7"/>
      <c r="F31" s="7"/>
      <c r="G31" s="7"/>
      <c r="H31" s="7"/>
    </row>
    <row r="32" spans="1:8" ht="15.75" customHeight="1" x14ac:dyDescent="0.35">
      <c r="A32" s="7" t="s">
        <v>31</v>
      </c>
      <c r="B32" s="15">
        <v>0.6</v>
      </c>
      <c r="C32" s="7"/>
      <c r="D32" s="7"/>
      <c r="E32" s="7"/>
      <c r="F32" s="7"/>
      <c r="G32" s="7"/>
      <c r="H32" s="7"/>
    </row>
    <row r="33" spans="1:8" ht="15.75" customHeight="1" x14ac:dyDescent="0.35">
      <c r="A33" s="8" t="s">
        <v>184</v>
      </c>
      <c r="B33" s="24">
        <f>IF((B19*(1-B32)+B31)=0,0,(B29+B30+B31)/(B19*(1-B32)+B31))</f>
        <v>0.70291521497405474</v>
      </c>
      <c r="C33" s="7"/>
      <c r="D33" s="7" t="s">
        <v>185</v>
      </c>
      <c r="E33" s="7"/>
      <c r="F33" s="7"/>
      <c r="G33" s="7"/>
      <c r="H33" s="7"/>
    </row>
    <row r="34" spans="1:8" ht="15.75" customHeight="1" x14ac:dyDescent="0.35">
      <c r="A34" s="7" t="s">
        <v>186</v>
      </c>
      <c r="B34" s="15">
        <f>'1_Cost_Job'!B10</f>
        <v>0.78</v>
      </c>
      <c r="C34" s="7"/>
      <c r="D34" s="7"/>
      <c r="E34" s="7"/>
      <c r="F34" s="7"/>
      <c r="G34" s="7"/>
      <c r="H34" s="7"/>
    </row>
    <row r="35" spans="1:8" ht="15.75" customHeight="1" x14ac:dyDescent="0.35">
      <c r="A35" s="7" t="s">
        <v>187</v>
      </c>
      <c r="B35" s="12" t="str">
        <f>IF(B34&gt;=B33,"ĐẠT — mô hình có lãi lành mạnh","CHƯA ĐẠT — phải tăng containment, tăng giá, hoặc đổi biến thể HITL")</f>
        <v>ĐẠT — mô hình có lãi lành mạnh</v>
      </c>
      <c r="C35" s="7"/>
      <c r="D35" s="7"/>
      <c r="E35" s="7"/>
      <c r="F35" s="7"/>
      <c r="G35" s="7"/>
      <c r="H35" s="7"/>
    </row>
    <row r="36" spans="1:8" ht="15.75" customHeight="1" x14ac:dyDescent="0.35">
      <c r="A36" s="7"/>
      <c r="B36" s="7"/>
      <c r="C36" s="7"/>
      <c r="D36" s="7"/>
      <c r="E36" s="7"/>
      <c r="F36" s="7"/>
      <c r="G36" s="7"/>
      <c r="H36" s="7"/>
    </row>
    <row r="37" spans="1:8" ht="15.75" customHeight="1" x14ac:dyDescent="0.35">
      <c r="A37" s="10" t="s">
        <v>188</v>
      </c>
      <c r="B37" s="11"/>
      <c r="C37" s="11"/>
      <c r="D37" s="11"/>
      <c r="E37" s="11"/>
      <c r="F37" s="11"/>
      <c r="G37" s="11"/>
      <c r="H37" s="11"/>
    </row>
    <row r="38" spans="1:8" ht="15.75" customHeight="1" x14ac:dyDescent="0.35">
      <c r="A38" s="25" t="s">
        <v>189</v>
      </c>
      <c r="B38" s="25" t="s">
        <v>190</v>
      </c>
      <c r="C38" s="25" t="s">
        <v>191</v>
      </c>
      <c r="D38" s="25" t="s">
        <v>192</v>
      </c>
      <c r="E38" s="7"/>
      <c r="F38" s="7"/>
      <c r="G38" s="7"/>
      <c r="H38" s="7"/>
    </row>
    <row r="39" spans="1:8" ht="15.75" customHeight="1" x14ac:dyDescent="0.35">
      <c r="A39" s="26">
        <v>0.5</v>
      </c>
      <c r="B39" s="17">
        <f t="shared" ref="B39:B44" si="0">($B$29+$B$30+$B$31*(1-A39))/A39</f>
        <v>0.68097683333333325</v>
      </c>
      <c r="C39" s="15">
        <f t="shared" ref="C39:C44" si="1">IF($B$19=0,0,1-B39/$B$19)</f>
        <v>0.13800400843881866</v>
      </c>
      <c r="D39" s="12" t="str">
        <f t="shared" ref="D39:D44" si="2">IF(C39&gt;=0.6,"An toàn",IF(C39&gt;=0.5,"Cảnh báo","Nguy hiểm"))</f>
        <v>Nguy hiểm</v>
      </c>
      <c r="E39" s="7"/>
      <c r="F39" s="7"/>
      <c r="G39" s="7"/>
      <c r="H39" s="7"/>
    </row>
    <row r="40" spans="1:8" ht="15.75" customHeight="1" x14ac:dyDescent="0.35">
      <c r="A40" s="26">
        <v>0.6</v>
      </c>
      <c r="B40" s="17">
        <f t="shared" si="0"/>
        <v>0.47025847222222217</v>
      </c>
      <c r="C40" s="15">
        <f t="shared" si="1"/>
        <v>0.40473611111111119</v>
      </c>
      <c r="D40" s="12" t="str">
        <f t="shared" si="2"/>
        <v>Nguy hiểm</v>
      </c>
      <c r="E40" s="7"/>
      <c r="F40" s="7"/>
      <c r="G40" s="7"/>
      <c r="H40" s="7"/>
    </row>
    <row r="41" spans="1:8" ht="15.75" customHeight="1" x14ac:dyDescent="0.35">
      <c r="A41" s="26">
        <v>0.7</v>
      </c>
      <c r="B41" s="17">
        <f t="shared" si="0"/>
        <v>0.31974535714285718</v>
      </c>
      <c r="C41" s="15">
        <f t="shared" si="1"/>
        <v>0.59525904159132004</v>
      </c>
      <c r="D41" s="12" t="str">
        <f t="shared" si="2"/>
        <v>Cảnh báo</v>
      </c>
      <c r="E41" s="7"/>
      <c r="F41" s="7"/>
      <c r="G41" s="7"/>
      <c r="H41" s="7"/>
    </row>
    <row r="42" spans="1:8" ht="15.75" customHeight="1" x14ac:dyDescent="0.35">
      <c r="A42" s="26">
        <v>0.8</v>
      </c>
      <c r="B42" s="17">
        <f t="shared" si="0"/>
        <v>0.20686052083333328</v>
      </c>
      <c r="C42" s="15">
        <f t="shared" si="1"/>
        <v>0.73815123945147687</v>
      </c>
      <c r="D42" s="12" t="str">
        <f t="shared" si="2"/>
        <v>An toàn</v>
      </c>
      <c r="E42" s="7"/>
      <c r="F42" s="7"/>
      <c r="G42" s="7"/>
      <c r="H42" s="7"/>
    </row>
    <row r="43" spans="1:8" ht="15.75" customHeight="1" x14ac:dyDescent="0.35">
      <c r="A43" s="26">
        <v>0.9</v>
      </c>
      <c r="B43" s="17">
        <f t="shared" si="0"/>
        <v>0.11906120370370368</v>
      </c>
      <c r="C43" s="15">
        <f t="shared" si="1"/>
        <v>0.8492896155649321</v>
      </c>
      <c r="D43" s="12" t="str">
        <f t="shared" si="2"/>
        <v>An toàn</v>
      </c>
      <c r="E43" s="7"/>
      <c r="F43" s="7"/>
      <c r="G43" s="7"/>
      <c r="H43" s="7"/>
    </row>
    <row r="44" spans="1:8" ht="15.75" customHeight="1" x14ac:dyDescent="0.35">
      <c r="A44" s="26">
        <v>0.95</v>
      </c>
      <c r="B44" s="17">
        <f t="shared" si="0"/>
        <v>8.2093070175438626E-2</v>
      </c>
      <c r="C44" s="15">
        <f t="shared" si="1"/>
        <v>0.89608472129691319</v>
      </c>
      <c r="D44" s="12" t="str">
        <f t="shared" si="2"/>
        <v>An toàn</v>
      </c>
      <c r="E44" s="7"/>
      <c r="F44" s="7"/>
      <c r="G44" s="7"/>
      <c r="H44" s="7"/>
    </row>
    <row r="45" spans="1:8" ht="15.75" customHeight="1" x14ac:dyDescent="0.35">
      <c r="A45" s="7"/>
      <c r="B45" s="7"/>
      <c r="C45" s="7"/>
      <c r="D45" s="7"/>
      <c r="E45" s="7"/>
      <c r="F45" s="7"/>
      <c r="G45" s="7"/>
      <c r="H45" s="7"/>
    </row>
    <row r="46" spans="1:8" ht="15.75" customHeight="1" x14ac:dyDescent="0.35">
      <c r="A46" s="7" t="s">
        <v>193</v>
      </c>
      <c r="B46" s="7"/>
      <c r="C46" s="7"/>
      <c r="D46" s="7"/>
      <c r="E46" s="7"/>
      <c r="F46" s="7"/>
      <c r="G46" s="7"/>
      <c r="H46" s="7"/>
    </row>
    <row r="47" spans="1:8" ht="15.75" customHeight="1" x14ac:dyDescent="0.35">
      <c r="A47" s="7"/>
      <c r="B47" s="7"/>
      <c r="C47" s="7"/>
      <c r="D47" s="7"/>
      <c r="E47" s="7"/>
      <c r="F47" s="7"/>
      <c r="G47" s="7"/>
      <c r="H47" s="7"/>
    </row>
    <row r="48" spans="1:8" ht="15.75" customHeight="1" x14ac:dyDescent="0.35">
      <c r="A48" s="10" t="s">
        <v>194</v>
      </c>
      <c r="B48" s="11"/>
      <c r="C48" s="11"/>
      <c r="D48" s="11"/>
      <c r="E48" s="11"/>
      <c r="F48" s="11"/>
      <c r="G48" s="11"/>
      <c r="H48" s="11"/>
    </row>
    <row r="49" spans="1:8" ht="15.75" customHeight="1" x14ac:dyDescent="0.35">
      <c r="A49" s="8" t="s">
        <v>190</v>
      </c>
      <c r="B49" s="18">
        <f>B5</f>
        <v>0.22712190170940169</v>
      </c>
      <c r="C49" s="7"/>
      <c r="D49" s="7"/>
      <c r="E49" s="7"/>
      <c r="F49" s="7"/>
      <c r="G49" s="7"/>
      <c r="H49" s="7"/>
    </row>
    <row r="50" spans="1:8" ht="15.75" customHeight="1" x14ac:dyDescent="0.35">
      <c r="A50" s="8" t="s">
        <v>195</v>
      </c>
      <c r="B50" s="18">
        <f>B7</f>
        <v>0.68136570512820505</v>
      </c>
      <c r="C50" s="7"/>
      <c r="D50" s="7"/>
      <c r="E50" s="7"/>
      <c r="F50" s="7"/>
      <c r="G50" s="7"/>
      <c r="H50" s="7"/>
    </row>
    <row r="51" spans="1:8" ht="15.75" customHeight="1" x14ac:dyDescent="0.35">
      <c r="A51" s="8" t="s">
        <v>29</v>
      </c>
      <c r="B51" s="18">
        <f>B19</f>
        <v>0.79</v>
      </c>
      <c r="C51" s="7"/>
      <c r="D51" s="7"/>
      <c r="E51" s="7"/>
      <c r="F51" s="7"/>
      <c r="G51" s="7"/>
      <c r="H51" s="7"/>
    </row>
    <row r="52" spans="1:8" ht="15.75" customHeight="1" x14ac:dyDescent="0.35">
      <c r="A52" s="8" t="s">
        <v>191</v>
      </c>
      <c r="B52" s="24">
        <f>B21</f>
        <v>0.71250392188683331</v>
      </c>
      <c r="C52" s="7"/>
      <c r="D52" s="7"/>
      <c r="E52" s="7"/>
      <c r="F52" s="7"/>
      <c r="G52" s="7"/>
      <c r="H52" s="7"/>
    </row>
    <row r="53" spans="1:8" ht="15.75" customHeight="1" x14ac:dyDescent="0.35">
      <c r="A53" s="8" t="s">
        <v>196</v>
      </c>
      <c r="B53" s="24">
        <f>B33</f>
        <v>0.70291521497405474</v>
      </c>
      <c r="C53" s="7"/>
      <c r="D53" s="7"/>
      <c r="E53" s="7"/>
      <c r="F53" s="7"/>
      <c r="G53" s="7"/>
      <c r="H53" s="7"/>
    </row>
    <row r="54" spans="1:8" ht="15.75" customHeight="1" x14ac:dyDescent="0.35"/>
    <row r="55" spans="1:8" ht="15.75" customHeight="1" x14ac:dyDescent="0.35"/>
    <row r="56" spans="1:8" ht="15.75" customHeight="1" x14ac:dyDescent="0.35"/>
    <row r="57" spans="1:8" ht="15.75" customHeight="1" x14ac:dyDescent="0.35"/>
    <row r="58" spans="1:8" ht="15.75" customHeight="1" x14ac:dyDescent="0.35"/>
    <row r="59" spans="1:8" ht="15.75" customHeight="1" x14ac:dyDescent="0.35"/>
    <row r="60" spans="1:8" ht="15.75" customHeight="1" x14ac:dyDescent="0.35"/>
    <row r="61" spans="1:8" ht="15.75" customHeight="1" x14ac:dyDescent="0.35"/>
    <row r="62" spans="1:8" ht="15.75" customHeight="1" x14ac:dyDescent="0.35"/>
    <row r="63" spans="1:8" ht="15.75" customHeight="1" x14ac:dyDescent="0.35"/>
    <row r="64" spans="1:8"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53125" defaultRowHeight="15" customHeight="1" x14ac:dyDescent="0.35"/>
  <cols>
    <col min="1" max="1" width="72" customWidth="1"/>
    <col min="2" max="2" width="16" customWidth="1"/>
    <col min="3" max="3" width="30" customWidth="1"/>
    <col min="4" max="4" width="45" customWidth="1"/>
    <col min="5" max="8" width="15" customWidth="1"/>
    <col min="9" max="26" width="8.7265625" customWidth="1"/>
  </cols>
  <sheetData>
    <row r="1" spans="1:8" ht="24" customHeight="1" x14ac:dyDescent="0.35">
      <c r="A1" s="3" t="s">
        <v>197</v>
      </c>
      <c r="B1" s="3"/>
      <c r="C1" s="3"/>
      <c r="D1" s="3"/>
      <c r="E1" s="3"/>
      <c r="F1" s="3"/>
      <c r="G1" s="3"/>
      <c r="H1" s="3"/>
    </row>
    <row r="2" spans="1:8" ht="14.5" customHeight="1" x14ac:dyDescent="0.35">
      <c r="A2" s="7" t="s">
        <v>198</v>
      </c>
      <c r="B2" s="7"/>
      <c r="C2" s="7"/>
      <c r="D2" s="7"/>
      <c r="E2" s="7"/>
      <c r="F2" s="7"/>
      <c r="G2" s="7"/>
      <c r="H2" s="7"/>
    </row>
    <row r="3" spans="1:8" ht="14.5" customHeight="1" x14ac:dyDescent="0.35">
      <c r="A3" s="7"/>
      <c r="B3" s="7"/>
      <c r="C3" s="7"/>
      <c r="D3" s="7"/>
      <c r="E3" s="7"/>
      <c r="F3" s="7"/>
      <c r="G3" s="7"/>
      <c r="H3" s="7"/>
    </row>
    <row r="4" spans="1:8" ht="14.5" customHeight="1" x14ac:dyDescent="0.35">
      <c r="A4" s="10" t="s">
        <v>199</v>
      </c>
      <c r="B4" s="11"/>
      <c r="C4" s="11"/>
      <c r="D4" s="11"/>
      <c r="E4" s="11"/>
      <c r="F4" s="11"/>
      <c r="G4" s="11"/>
      <c r="H4" s="11"/>
    </row>
    <row r="5" spans="1:8" ht="14.5" customHeight="1" x14ac:dyDescent="0.35">
      <c r="A5" s="7" t="s">
        <v>200</v>
      </c>
      <c r="B5" s="13">
        <v>2</v>
      </c>
      <c r="C5" s="7"/>
      <c r="D5" s="7"/>
      <c r="E5" s="7"/>
      <c r="F5" s="7"/>
      <c r="G5" s="7"/>
      <c r="H5" s="7"/>
    </row>
    <row r="6" spans="1:8" ht="14.5" customHeight="1" x14ac:dyDescent="0.35">
      <c r="A6" s="7" t="s">
        <v>201</v>
      </c>
      <c r="B6" s="13">
        <v>2</v>
      </c>
      <c r="C6" s="7"/>
      <c r="D6" s="7"/>
      <c r="E6" s="7"/>
      <c r="F6" s="7"/>
      <c r="G6" s="7"/>
      <c r="H6" s="7"/>
    </row>
    <row r="7" spans="1:8" ht="14.5" customHeight="1" x14ac:dyDescent="0.35">
      <c r="A7" s="7" t="s">
        <v>202</v>
      </c>
      <c r="B7" s="13">
        <v>2</v>
      </c>
      <c r="C7" s="7"/>
      <c r="D7" s="7"/>
      <c r="E7" s="7"/>
      <c r="F7" s="7"/>
      <c r="G7" s="7"/>
      <c r="H7" s="7"/>
    </row>
    <row r="8" spans="1:8" ht="14.5" customHeight="1" x14ac:dyDescent="0.35">
      <c r="A8" s="7" t="s">
        <v>203</v>
      </c>
      <c r="B8" s="13">
        <v>1</v>
      </c>
      <c r="C8" s="7"/>
      <c r="D8" s="7"/>
      <c r="E8" s="7"/>
      <c r="F8" s="7"/>
      <c r="G8" s="7"/>
      <c r="H8" s="7"/>
    </row>
    <row r="9" spans="1:8" ht="14.5" customHeight="1" x14ac:dyDescent="0.35">
      <c r="A9" s="7" t="s">
        <v>204</v>
      </c>
      <c r="B9" s="13">
        <v>2</v>
      </c>
      <c r="C9" s="7"/>
      <c r="D9" s="7"/>
      <c r="E9" s="7"/>
      <c r="F9" s="7"/>
      <c r="G9" s="7"/>
      <c r="H9" s="7"/>
    </row>
    <row r="10" spans="1:8" ht="14.5" customHeight="1" x14ac:dyDescent="0.35">
      <c r="A10" s="8" t="s">
        <v>205</v>
      </c>
      <c r="B10" s="27">
        <f>SUM(B5:B9)</f>
        <v>9</v>
      </c>
      <c r="C10" s="7"/>
      <c r="D10" s="7"/>
      <c r="E10" s="7"/>
      <c r="F10" s="7"/>
      <c r="G10" s="7"/>
      <c r="H10" s="7"/>
    </row>
    <row r="11" spans="1:8" ht="14.5" customHeight="1" x14ac:dyDescent="0.35">
      <c r="A11" s="7"/>
      <c r="B11" s="7"/>
      <c r="C11" s="7"/>
      <c r="D11" s="7"/>
      <c r="E11" s="7"/>
      <c r="F11" s="7"/>
      <c r="G11" s="7"/>
      <c r="H11" s="7"/>
    </row>
    <row r="12" spans="1:8" ht="14.5" customHeight="1" x14ac:dyDescent="0.35">
      <c r="A12" s="10" t="s">
        <v>206</v>
      </c>
      <c r="B12" s="11"/>
      <c r="C12" s="11"/>
      <c r="D12" s="11"/>
      <c r="E12" s="11"/>
      <c r="F12" s="11"/>
      <c r="G12" s="11"/>
      <c r="H12" s="11"/>
    </row>
    <row r="13" spans="1:8" ht="14.5" customHeight="1" x14ac:dyDescent="0.35">
      <c r="A13" s="7" t="s">
        <v>207</v>
      </c>
      <c r="B13" s="13">
        <v>1</v>
      </c>
      <c r="C13" s="7"/>
      <c r="D13" s="7"/>
      <c r="E13" s="7"/>
      <c r="F13" s="7"/>
      <c r="G13" s="7"/>
      <c r="H13" s="7"/>
    </row>
    <row r="14" spans="1:8" ht="14.5" customHeight="1" x14ac:dyDescent="0.35">
      <c r="A14" s="7" t="s">
        <v>208</v>
      </c>
      <c r="B14" s="13">
        <v>1</v>
      </c>
      <c r="C14" s="7"/>
      <c r="D14" s="7"/>
      <c r="E14" s="7"/>
      <c r="F14" s="7"/>
      <c r="G14" s="7"/>
      <c r="H14" s="7"/>
    </row>
    <row r="15" spans="1:8" ht="14.5" customHeight="1" x14ac:dyDescent="0.35">
      <c r="A15" s="7" t="s">
        <v>209</v>
      </c>
      <c r="B15" s="13">
        <v>2</v>
      </c>
      <c r="C15" s="7"/>
      <c r="D15" s="7"/>
      <c r="E15" s="7"/>
      <c r="F15" s="7"/>
      <c r="G15" s="7"/>
      <c r="H15" s="7"/>
    </row>
    <row r="16" spans="1:8" ht="14.5" customHeight="1" x14ac:dyDescent="0.35">
      <c r="A16" s="7" t="s">
        <v>210</v>
      </c>
      <c r="B16" s="13">
        <v>1</v>
      </c>
      <c r="C16" s="7"/>
      <c r="D16" s="7"/>
      <c r="E16" s="7"/>
      <c r="F16" s="7"/>
      <c r="G16" s="7"/>
      <c r="H16" s="7"/>
    </row>
    <row r="17" spans="1:8" ht="14.5" customHeight="1" x14ac:dyDescent="0.35">
      <c r="A17" s="7" t="s">
        <v>211</v>
      </c>
      <c r="B17" s="13">
        <v>1</v>
      </c>
      <c r="C17" s="7"/>
      <c r="D17" s="7"/>
      <c r="E17" s="7"/>
      <c r="F17" s="7"/>
      <c r="G17" s="7"/>
      <c r="H17" s="7"/>
    </row>
    <row r="18" spans="1:8" ht="14.5" customHeight="1" x14ac:dyDescent="0.35">
      <c r="A18" s="8" t="s">
        <v>212</v>
      </c>
      <c r="B18" s="27">
        <f>SUM(B13:B17)</f>
        <v>6</v>
      </c>
      <c r="C18" s="7"/>
      <c r="D18" s="7"/>
      <c r="E18" s="7"/>
      <c r="F18" s="7"/>
      <c r="G18" s="7"/>
      <c r="H18" s="7"/>
    </row>
    <row r="19" spans="1:8" ht="14.5" customHeight="1" x14ac:dyDescent="0.35">
      <c r="A19" s="7"/>
      <c r="B19" s="7"/>
      <c r="C19" s="7"/>
      <c r="D19" s="7"/>
      <c r="E19" s="7"/>
      <c r="F19" s="7"/>
      <c r="G19" s="7"/>
      <c r="H19" s="7"/>
    </row>
    <row r="20" spans="1:8" ht="14.5" customHeight="1" x14ac:dyDescent="0.35">
      <c r="A20" s="10" t="s">
        <v>213</v>
      </c>
      <c r="B20" s="11"/>
      <c r="C20" s="11"/>
      <c r="D20" s="11"/>
      <c r="E20" s="11"/>
      <c r="F20" s="11"/>
      <c r="G20" s="11"/>
      <c r="H20" s="11"/>
    </row>
    <row r="21" spans="1:8" ht="15.75" customHeight="1" x14ac:dyDescent="0.35">
      <c r="A21" s="8" t="s">
        <v>214</v>
      </c>
      <c r="B21" s="6" t="str">
        <f>IF(AND(B10&gt;=7,B18&gt;=7),"OUTCOME",IF(AND(B10&gt;=7,B18&lt;7),"USAGE",IF(AND(B10&lt;7,B18&gt;=7),"USAGE (an toàn)","SEAT hoặc HYBRID")))</f>
        <v>USAGE</v>
      </c>
      <c r="C21" s="7"/>
      <c r="D21" s="7"/>
      <c r="E21" s="7"/>
      <c r="F21" s="7"/>
      <c r="G21" s="7"/>
      <c r="H21" s="7"/>
    </row>
    <row r="22" spans="1:8" ht="15.75" customHeight="1" x14ac:dyDescent="0.35">
      <c r="A22" s="7" t="s">
        <v>215</v>
      </c>
      <c r="B22" s="7"/>
      <c r="C22" s="7"/>
      <c r="D22" s="7"/>
      <c r="E22" s="7"/>
      <c r="F22" s="7"/>
      <c r="G22" s="7"/>
      <c r="H22" s="7"/>
    </row>
    <row r="23" spans="1:8" ht="15.75" customHeight="1" x14ac:dyDescent="0.35">
      <c r="A23" s="7"/>
      <c r="B23" s="7"/>
      <c r="C23" s="7"/>
      <c r="D23" s="7"/>
      <c r="E23" s="7"/>
      <c r="F23" s="7"/>
      <c r="G23" s="7"/>
      <c r="H23" s="7"/>
    </row>
    <row r="24" spans="1:8" ht="15.75" customHeight="1" x14ac:dyDescent="0.35">
      <c r="A24" s="10" t="s">
        <v>216</v>
      </c>
      <c r="B24" s="11"/>
      <c r="C24" s="11"/>
      <c r="D24" s="11"/>
      <c r="E24" s="11"/>
      <c r="F24" s="11"/>
      <c r="G24" s="11"/>
      <c r="H24" s="11"/>
    </row>
    <row r="25" spans="1:8" ht="15.75" customHeight="1" x14ac:dyDescent="0.35">
      <c r="A25" s="25" t="s">
        <v>217</v>
      </c>
      <c r="B25" s="25" t="s">
        <v>218</v>
      </c>
      <c r="C25" s="25" t="s">
        <v>219</v>
      </c>
      <c r="D25" s="25" t="s">
        <v>220</v>
      </c>
      <c r="E25" s="7"/>
      <c r="F25" s="7"/>
      <c r="G25" s="7"/>
      <c r="H25" s="7"/>
    </row>
    <row r="26" spans="1:8" ht="15.75" customHeight="1" x14ac:dyDescent="0.35">
      <c r="A26" s="12" t="s">
        <v>221</v>
      </c>
      <c r="B26" s="12" t="s">
        <v>222</v>
      </c>
      <c r="C26" s="12" t="s">
        <v>223</v>
      </c>
      <c r="D26" s="12" t="s">
        <v>224</v>
      </c>
      <c r="E26" s="7"/>
      <c r="F26" s="7"/>
      <c r="G26" s="7"/>
      <c r="H26" s="7"/>
    </row>
    <row r="27" spans="1:8" ht="15.75" customHeight="1" x14ac:dyDescent="0.35">
      <c r="A27" s="12" t="s">
        <v>225</v>
      </c>
      <c r="B27" s="12" t="s">
        <v>226</v>
      </c>
      <c r="C27" s="12" t="s">
        <v>227</v>
      </c>
      <c r="D27" s="12" t="s">
        <v>228</v>
      </c>
      <c r="E27" s="7"/>
      <c r="F27" s="7"/>
      <c r="G27" s="7"/>
      <c r="H27" s="7"/>
    </row>
    <row r="28" spans="1:8" ht="15.75" customHeight="1" x14ac:dyDescent="0.35">
      <c r="A28" s="7"/>
      <c r="B28" s="7"/>
      <c r="C28" s="7"/>
      <c r="D28" s="7"/>
      <c r="E28" s="7"/>
      <c r="F28" s="7"/>
      <c r="G28" s="7"/>
      <c r="H28" s="7"/>
    </row>
    <row r="29" spans="1:8" ht="15.75" customHeight="1" x14ac:dyDescent="0.35">
      <c r="A29" s="10" t="s">
        <v>229</v>
      </c>
      <c r="B29" s="11"/>
      <c r="C29" s="11"/>
      <c r="D29" s="11"/>
      <c r="E29" s="11"/>
      <c r="F29" s="11"/>
      <c r="G29" s="11"/>
      <c r="H29" s="11"/>
    </row>
    <row r="30" spans="1:8" ht="15.75" customHeight="1" x14ac:dyDescent="0.35">
      <c r="A30" s="7" t="s">
        <v>230</v>
      </c>
      <c r="B30" s="12" t="s">
        <v>231</v>
      </c>
      <c r="C30" s="7"/>
      <c r="D30" s="7"/>
      <c r="E30" s="7"/>
      <c r="F30" s="7"/>
      <c r="G30" s="7"/>
      <c r="H30" s="7"/>
    </row>
    <row r="31" spans="1:8" ht="15.75" customHeight="1" x14ac:dyDescent="0.35">
      <c r="A31" s="7" t="s">
        <v>232</v>
      </c>
      <c r="B31" s="12" t="s">
        <v>233</v>
      </c>
      <c r="C31" s="7"/>
      <c r="D31" s="7"/>
      <c r="E31" s="7"/>
      <c r="F31" s="7"/>
      <c r="G31" s="7"/>
      <c r="H31" s="7"/>
    </row>
    <row r="32" spans="1:8" ht="15.75" customHeight="1" x14ac:dyDescent="0.35">
      <c r="A32" s="7" t="s">
        <v>234</v>
      </c>
      <c r="B32" s="12" t="s">
        <v>235</v>
      </c>
      <c r="C32" s="7"/>
      <c r="D32" s="7"/>
      <c r="E32" s="7"/>
      <c r="F32" s="7"/>
      <c r="G32" s="7"/>
      <c r="H32" s="7"/>
    </row>
    <row r="33" spans="1:8" ht="15.75" customHeight="1" x14ac:dyDescent="0.35">
      <c r="A33" s="7" t="s">
        <v>236</v>
      </c>
      <c r="B33" s="12" t="s">
        <v>237</v>
      </c>
      <c r="C33" s="7"/>
      <c r="D33" s="7"/>
      <c r="E33" s="7"/>
      <c r="F33" s="7"/>
      <c r="G33" s="7"/>
      <c r="H33" s="7"/>
    </row>
    <row r="34" spans="1:8" ht="15.75" customHeight="1" x14ac:dyDescent="0.35">
      <c r="A34" s="7" t="s">
        <v>238</v>
      </c>
      <c r="B34" s="12" t="s">
        <v>239</v>
      </c>
      <c r="C34" s="7"/>
      <c r="D34" s="7"/>
      <c r="E34" s="7"/>
      <c r="F34" s="7"/>
      <c r="G34" s="7"/>
      <c r="H34" s="7"/>
    </row>
    <row r="35" spans="1:8" ht="15.75" customHeight="1" x14ac:dyDescent="0.35"/>
    <row r="36" spans="1:8" ht="15.75" customHeight="1" x14ac:dyDescent="0.35"/>
    <row r="37" spans="1:8" ht="15.75" customHeight="1" x14ac:dyDescent="0.35"/>
    <row r="38" spans="1:8" ht="15.75" customHeight="1" x14ac:dyDescent="0.35"/>
    <row r="39" spans="1:8" ht="15.75" customHeight="1" x14ac:dyDescent="0.35"/>
    <row r="40" spans="1:8" ht="15.75" customHeight="1" x14ac:dyDescent="0.35"/>
    <row r="41" spans="1:8" ht="15.75" customHeight="1" x14ac:dyDescent="0.35"/>
    <row r="42" spans="1:8" ht="15.75" customHeight="1" x14ac:dyDescent="0.35"/>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53125" defaultRowHeight="15" customHeight="1" x14ac:dyDescent="0.35"/>
  <cols>
    <col min="1" max="1" width="46" customWidth="1"/>
    <col min="2" max="3" width="18" customWidth="1"/>
    <col min="4" max="4" width="45" customWidth="1"/>
    <col min="5" max="8" width="15" customWidth="1"/>
    <col min="9" max="26" width="8.7265625" customWidth="1"/>
  </cols>
  <sheetData>
    <row r="1" spans="1:8" ht="24" customHeight="1" x14ac:dyDescent="0.35">
      <c r="A1" s="3" t="s">
        <v>240</v>
      </c>
      <c r="B1" s="3"/>
      <c r="C1" s="3"/>
      <c r="D1" s="3"/>
      <c r="E1" s="3"/>
      <c r="F1" s="3"/>
      <c r="G1" s="3"/>
      <c r="H1" s="3"/>
    </row>
    <row r="2" spans="1:8" ht="14.5" customHeight="1" x14ac:dyDescent="0.35">
      <c r="A2" s="7" t="s">
        <v>241</v>
      </c>
      <c r="B2" s="7"/>
      <c r="C2" s="7"/>
      <c r="D2" s="7"/>
      <c r="E2" s="7"/>
      <c r="F2" s="7"/>
      <c r="G2" s="7"/>
      <c r="H2" s="7"/>
    </row>
    <row r="3" spans="1:8" ht="14.5" customHeight="1" x14ac:dyDescent="0.35">
      <c r="A3" s="7"/>
      <c r="B3" s="7"/>
      <c r="C3" s="7"/>
      <c r="D3" s="7"/>
      <c r="E3" s="7"/>
      <c r="F3" s="7"/>
      <c r="G3" s="7"/>
      <c r="H3" s="7"/>
    </row>
    <row r="4" spans="1:8" ht="14.5" customHeight="1" x14ac:dyDescent="0.35">
      <c r="A4" s="10" t="s">
        <v>242</v>
      </c>
      <c r="B4" s="11"/>
      <c r="C4" s="11"/>
      <c r="D4" s="11"/>
      <c r="E4" s="11"/>
      <c r="F4" s="11"/>
      <c r="G4" s="11"/>
      <c r="H4" s="11"/>
    </row>
    <row r="5" spans="1:8" ht="14.5" customHeight="1" x14ac:dyDescent="0.35">
      <c r="A5" s="7" t="s">
        <v>243</v>
      </c>
      <c r="B5" s="22">
        <v>790</v>
      </c>
      <c r="C5" s="7"/>
      <c r="D5" s="7"/>
      <c r="E5" s="7"/>
      <c r="F5" s="7"/>
      <c r="G5" s="7"/>
      <c r="H5" s="7"/>
    </row>
    <row r="6" spans="1:8" ht="14.5" customHeight="1" x14ac:dyDescent="0.35">
      <c r="A6" s="7" t="s">
        <v>244</v>
      </c>
      <c r="B6" s="15">
        <f>'2_Pricing'!B21</f>
        <v>0.71250392188683331</v>
      </c>
      <c r="C6" s="7"/>
      <c r="D6" s="7"/>
      <c r="E6" s="7"/>
      <c r="F6" s="7"/>
      <c r="G6" s="7"/>
      <c r="H6" s="7"/>
    </row>
    <row r="7" spans="1:8" ht="14.5" customHeight="1" x14ac:dyDescent="0.35">
      <c r="A7" s="7" t="s">
        <v>245</v>
      </c>
      <c r="B7" s="13" t="s">
        <v>246</v>
      </c>
      <c r="C7" s="7"/>
      <c r="D7" s="7"/>
      <c r="E7" s="7"/>
      <c r="F7" s="7"/>
      <c r="G7" s="7"/>
      <c r="H7" s="7"/>
    </row>
    <row r="8" spans="1:8" ht="14.5" customHeight="1" x14ac:dyDescent="0.35">
      <c r="A8" s="7" t="s">
        <v>247</v>
      </c>
      <c r="B8" s="14">
        <f>IF(B7="SMB",12,IF(B7="Mid",18,24))</f>
        <v>18</v>
      </c>
      <c r="C8" s="7" t="s">
        <v>248</v>
      </c>
      <c r="D8" s="7" t="s">
        <v>249</v>
      </c>
      <c r="E8" s="7"/>
      <c r="F8" s="7"/>
      <c r="G8" s="7"/>
      <c r="H8" s="7"/>
    </row>
    <row r="9" spans="1:8" ht="14.5" customHeight="1" x14ac:dyDescent="0.35">
      <c r="A9" s="8" t="s">
        <v>250</v>
      </c>
      <c r="B9" s="28">
        <f>B5*B6*B8</f>
        <v>10131.80576923077</v>
      </c>
      <c r="C9" s="7"/>
      <c r="D9" s="7" t="s">
        <v>251</v>
      </c>
      <c r="E9" s="7"/>
      <c r="F9" s="7"/>
      <c r="G9" s="7"/>
      <c r="H9" s="7"/>
    </row>
    <row r="10" spans="1:8" ht="14.5" customHeight="1" x14ac:dyDescent="0.35">
      <c r="A10" s="7" t="s">
        <v>252</v>
      </c>
      <c r="B10" s="22">
        <f>B5*12</f>
        <v>9480</v>
      </c>
      <c r="C10" s="7"/>
      <c r="D10" s="7"/>
      <c r="E10" s="7"/>
      <c r="F10" s="7"/>
      <c r="G10" s="7"/>
      <c r="H10" s="7"/>
    </row>
    <row r="11" spans="1:8" ht="14.5" customHeight="1" x14ac:dyDescent="0.35">
      <c r="A11" s="7"/>
      <c r="B11" s="7"/>
      <c r="C11" s="7"/>
      <c r="D11" s="7"/>
      <c r="E11" s="7"/>
      <c r="F11" s="7"/>
      <c r="G11" s="7"/>
      <c r="H11" s="7"/>
    </row>
    <row r="12" spans="1:8" ht="14.5" customHeight="1" x14ac:dyDescent="0.35">
      <c r="A12" s="10" t="s">
        <v>253</v>
      </c>
      <c r="B12" s="11"/>
      <c r="C12" s="11"/>
      <c r="D12" s="11"/>
      <c r="E12" s="11"/>
      <c r="F12" s="11"/>
      <c r="G12" s="11"/>
      <c r="H12" s="11"/>
    </row>
    <row r="13" spans="1:8" ht="14.5" customHeight="1" x14ac:dyDescent="0.35">
      <c r="A13" s="7" t="s">
        <v>254</v>
      </c>
      <c r="B13" s="22">
        <v>500000</v>
      </c>
      <c r="C13" s="7"/>
      <c r="D13" s="7" t="s">
        <v>255</v>
      </c>
      <c r="E13" s="7"/>
      <c r="F13" s="7"/>
      <c r="G13" s="7"/>
      <c r="H13" s="7"/>
    </row>
    <row r="14" spans="1:8" ht="14.5" customHeight="1" x14ac:dyDescent="0.35">
      <c r="A14" s="7" t="s">
        <v>256</v>
      </c>
      <c r="B14" s="14">
        <v>250</v>
      </c>
      <c r="C14" s="7" t="s">
        <v>257</v>
      </c>
      <c r="D14" s="7"/>
      <c r="E14" s="7"/>
      <c r="F14" s="7"/>
      <c r="G14" s="7"/>
      <c r="H14" s="7"/>
    </row>
    <row r="15" spans="1:8" ht="14.5" customHeight="1" x14ac:dyDescent="0.35">
      <c r="A15" s="7" t="s">
        <v>258</v>
      </c>
      <c r="B15" s="14">
        <f>IF(B10=0,0,B13/B10)</f>
        <v>52.742616033755276</v>
      </c>
      <c r="C15" s="7"/>
      <c r="D15" s="7"/>
      <c r="E15" s="7"/>
      <c r="F15" s="7"/>
      <c r="G15" s="7"/>
      <c r="H15" s="7"/>
    </row>
    <row r="16" spans="1:8" ht="14.5" customHeight="1" x14ac:dyDescent="0.35">
      <c r="A16" s="8" t="s">
        <v>259</v>
      </c>
      <c r="B16" s="29">
        <f>IF(B14=0,0,B15/B14)</f>
        <v>0.2109704641350211</v>
      </c>
      <c r="C16" s="7" t="s">
        <v>260</v>
      </c>
      <c r="D16" s="7"/>
      <c r="E16" s="7"/>
      <c r="F16" s="7"/>
      <c r="G16" s="7"/>
      <c r="H16" s="7"/>
    </row>
    <row r="17" spans="1:8" ht="14.5" customHeight="1" x14ac:dyDescent="0.35">
      <c r="A17" s="7" t="s">
        <v>261</v>
      </c>
      <c r="B17" s="12" t="str">
        <f>IF(B16&lt;=1,"KHẢ THI về mặt số học","BẤT KHẢ THI — ACV quá thấp để nuôi sales rep")</f>
        <v>KHẢ THI về mặt số học</v>
      </c>
      <c r="C17" s="7"/>
      <c r="D17" s="7"/>
      <c r="E17" s="7"/>
      <c r="F17" s="7"/>
      <c r="G17" s="7"/>
      <c r="H17" s="7"/>
    </row>
    <row r="18" spans="1:8" ht="14.5" customHeight="1" x14ac:dyDescent="0.35">
      <c r="A18" s="7"/>
      <c r="B18" s="7"/>
      <c r="C18" s="7"/>
      <c r="D18" s="7"/>
      <c r="E18" s="7"/>
      <c r="F18" s="7"/>
      <c r="G18" s="7"/>
      <c r="H18" s="7"/>
    </row>
    <row r="19" spans="1:8" ht="14.5" customHeight="1" x14ac:dyDescent="0.35">
      <c r="A19" s="10" t="s">
        <v>262</v>
      </c>
      <c r="B19" s="11"/>
      <c r="C19" s="11"/>
      <c r="D19" s="11"/>
      <c r="E19" s="11"/>
      <c r="F19" s="11"/>
      <c r="G19" s="11"/>
      <c r="H19" s="11"/>
    </row>
    <row r="20" spans="1:8" ht="14.5" customHeight="1" x14ac:dyDescent="0.35">
      <c r="A20" s="7" t="s">
        <v>263</v>
      </c>
      <c r="B20" s="22">
        <v>8000</v>
      </c>
      <c r="C20" s="7"/>
      <c r="D20" s="7" t="s">
        <v>264</v>
      </c>
      <c r="E20" s="7"/>
      <c r="F20" s="7"/>
      <c r="G20" s="7"/>
      <c r="H20" s="7"/>
    </row>
    <row r="21" spans="1:8" ht="15.75" customHeight="1" x14ac:dyDescent="0.35">
      <c r="A21" s="7" t="s">
        <v>265</v>
      </c>
      <c r="B21" s="15">
        <v>0.25</v>
      </c>
      <c r="C21" s="7"/>
      <c r="D21" s="7"/>
      <c r="E21" s="7"/>
      <c r="F21" s="7"/>
      <c r="G21" s="7"/>
      <c r="H21" s="7"/>
    </row>
    <row r="22" spans="1:8" ht="15.75" customHeight="1" x14ac:dyDescent="0.35">
      <c r="A22" s="7" t="s">
        <v>266</v>
      </c>
      <c r="B22" s="22">
        <f>IF(B21=0,0,B20/B21)</f>
        <v>32000</v>
      </c>
      <c r="C22" s="7"/>
      <c r="D22" s="7"/>
      <c r="E22" s="7"/>
      <c r="F22" s="7"/>
      <c r="G22" s="7"/>
      <c r="H22" s="7"/>
    </row>
    <row r="23" spans="1:8" ht="15.75" customHeight="1" x14ac:dyDescent="0.35">
      <c r="A23" s="8" t="s">
        <v>267</v>
      </c>
      <c r="B23" s="30">
        <f>IF(B9=0,0,B22/B9)</f>
        <v>3.1583708500591907</v>
      </c>
      <c r="C23" s="7"/>
      <c r="D23" s="7" t="s">
        <v>268</v>
      </c>
      <c r="E23" s="7"/>
      <c r="F23" s="7"/>
      <c r="G23" s="7"/>
      <c r="H23" s="7"/>
    </row>
    <row r="24" spans="1:8" ht="15.75" customHeight="1" x14ac:dyDescent="0.35">
      <c r="A24" s="7" t="s">
        <v>187</v>
      </c>
      <c r="B24" s="12" t="str">
        <f>IF(B23&lt;=1,"Motion có sales KHẢ THI",IF(B23&lt;=3,"Căng — cần tăng giá hoặc giảm chi phí bán hàng","KHÔNG KHẢ THI — đi PLG hoặc Partner-Led"))</f>
        <v>KHÔNG KHẢ THI — đi PLG hoặc Partner-Led</v>
      </c>
      <c r="C24" s="7"/>
      <c r="D24" s="7"/>
      <c r="E24" s="7"/>
      <c r="F24" s="7"/>
      <c r="G24" s="7"/>
      <c r="H24" s="7"/>
    </row>
    <row r="25" spans="1:8" ht="15.75" customHeight="1" x14ac:dyDescent="0.35">
      <c r="A25" s="7"/>
      <c r="B25" s="7"/>
      <c r="C25" s="7"/>
      <c r="D25" s="7"/>
      <c r="E25" s="7"/>
      <c r="F25" s="7"/>
      <c r="G25" s="7"/>
      <c r="H25" s="7"/>
    </row>
    <row r="26" spans="1:8" ht="15.75" customHeight="1" x14ac:dyDescent="0.35">
      <c r="A26" s="10" t="s">
        <v>269</v>
      </c>
      <c r="B26" s="11"/>
      <c r="C26" s="11"/>
      <c r="D26" s="11"/>
      <c r="E26" s="11"/>
      <c r="F26" s="11"/>
      <c r="G26" s="11"/>
      <c r="H26" s="11"/>
    </row>
    <row r="27" spans="1:8" ht="15.75" customHeight="1" x14ac:dyDescent="0.35">
      <c r="A27" s="25" t="s">
        <v>270</v>
      </c>
      <c r="B27" s="25" t="s">
        <v>271</v>
      </c>
      <c r="C27" s="25" t="s">
        <v>272</v>
      </c>
      <c r="D27" s="25" t="s">
        <v>273</v>
      </c>
      <c r="E27" s="7"/>
      <c r="F27" s="7"/>
      <c r="G27" s="7"/>
      <c r="H27" s="7"/>
    </row>
    <row r="28" spans="1:8" ht="15.75" customHeight="1" x14ac:dyDescent="0.35">
      <c r="A28" s="7" t="s">
        <v>274</v>
      </c>
      <c r="B28" s="13">
        <v>2</v>
      </c>
      <c r="C28" s="13">
        <v>2</v>
      </c>
      <c r="D28" s="13">
        <v>5</v>
      </c>
      <c r="E28" s="7"/>
      <c r="F28" s="7"/>
      <c r="G28" s="7"/>
      <c r="H28" s="7"/>
    </row>
    <row r="29" spans="1:8" ht="15.75" customHeight="1" x14ac:dyDescent="0.35">
      <c r="A29" s="7" t="s">
        <v>275</v>
      </c>
      <c r="B29" s="13">
        <v>2</v>
      </c>
      <c r="C29" s="13">
        <v>4</v>
      </c>
      <c r="D29" s="13">
        <v>5</v>
      </c>
      <c r="E29" s="7"/>
      <c r="F29" s="7"/>
      <c r="G29" s="7"/>
      <c r="H29" s="7"/>
    </row>
    <row r="30" spans="1:8" ht="15.75" customHeight="1" x14ac:dyDescent="0.35">
      <c r="A30" s="7" t="s">
        <v>276</v>
      </c>
      <c r="B30" s="13">
        <v>3</v>
      </c>
      <c r="C30" s="13">
        <v>2</v>
      </c>
      <c r="D30" s="13">
        <v>4</v>
      </c>
      <c r="E30" s="7"/>
      <c r="F30" s="7"/>
      <c r="G30" s="7"/>
      <c r="H30" s="7"/>
    </row>
    <row r="31" spans="1:8" ht="15.75" customHeight="1" x14ac:dyDescent="0.35">
      <c r="A31" s="7" t="s">
        <v>277</v>
      </c>
      <c r="B31" s="13">
        <v>3</v>
      </c>
      <c r="C31" s="13">
        <v>2</v>
      </c>
      <c r="D31" s="13">
        <v>5</v>
      </c>
      <c r="E31" s="7"/>
      <c r="F31" s="7"/>
      <c r="G31" s="7"/>
      <c r="H31" s="7"/>
    </row>
    <row r="32" spans="1:8" ht="15.75" customHeight="1" x14ac:dyDescent="0.35">
      <c r="A32" s="7" t="s">
        <v>278</v>
      </c>
      <c r="B32" s="13">
        <v>3</v>
      </c>
      <c r="C32" s="13">
        <v>4</v>
      </c>
      <c r="D32" s="13">
        <v>5</v>
      </c>
      <c r="E32" s="7"/>
      <c r="F32" s="7"/>
      <c r="G32" s="7"/>
      <c r="H32" s="7"/>
    </row>
    <row r="33" spans="1:8" ht="15.75" customHeight="1" x14ac:dyDescent="0.35">
      <c r="A33" s="7" t="s">
        <v>279</v>
      </c>
      <c r="B33" s="13">
        <v>3</v>
      </c>
      <c r="C33" s="13">
        <v>3</v>
      </c>
      <c r="D33" s="13">
        <v>5</v>
      </c>
      <c r="E33" s="7"/>
      <c r="F33" s="7"/>
      <c r="G33" s="7"/>
      <c r="H33" s="7"/>
    </row>
    <row r="34" spans="1:8" ht="15.75" customHeight="1" x14ac:dyDescent="0.35">
      <c r="A34" s="8" t="s">
        <v>280</v>
      </c>
      <c r="B34" s="6">
        <f>SUM(B28:B33)</f>
        <v>16</v>
      </c>
      <c r="C34" s="6">
        <f>SUM(C28:C33)</f>
        <v>17</v>
      </c>
      <c r="D34" s="6">
        <f>SUM(D28:D33)</f>
        <v>29</v>
      </c>
      <c r="E34" s="7"/>
      <c r="F34" s="7"/>
      <c r="G34" s="7"/>
      <c r="H34" s="7"/>
    </row>
    <row r="35" spans="1:8" ht="15.75" customHeight="1" x14ac:dyDescent="0.35">
      <c r="A35" s="8" t="s">
        <v>281</v>
      </c>
      <c r="B35" s="6" t="str">
        <f>IF(AND(B34&gt;=C34,B34&gt;=D34),"PLG",IF(C34&gt;=D34,"Sales-Led","Partner-Led"))</f>
        <v>Partner-Led</v>
      </c>
      <c r="C35" s="7"/>
      <c r="D35" s="7"/>
      <c r="E35" s="7"/>
      <c r="F35" s="7"/>
      <c r="G35" s="7"/>
      <c r="H35" s="7"/>
    </row>
    <row r="36" spans="1:8" ht="15.75" customHeight="1" x14ac:dyDescent="0.35">
      <c r="A36" s="7"/>
      <c r="B36" s="7"/>
      <c r="C36" s="7"/>
      <c r="D36" s="7"/>
      <c r="E36" s="7"/>
      <c r="F36" s="7"/>
      <c r="G36" s="7"/>
      <c r="H36" s="7"/>
    </row>
    <row r="37" spans="1:8" ht="15.75" customHeight="1" x14ac:dyDescent="0.35">
      <c r="A37" s="10" t="s">
        <v>282</v>
      </c>
      <c r="B37" s="11"/>
      <c r="C37" s="11"/>
      <c r="D37" s="11"/>
      <c r="E37" s="11"/>
      <c r="F37" s="11"/>
      <c r="G37" s="11"/>
      <c r="H37" s="11"/>
    </row>
    <row r="38" spans="1:8" ht="15.75" customHeight="1" x14ac:dyDescent="0.35">
      <c r="A38" s="7" t="s">
        <v>283</v>
      </c>
      <c r="B38" s="12" t="s">
        <v>273</v>
      </c>
      <c r="C38" s="7"/>
      <c r="D38" s="7"/>
      <c r="E38" s="7"/>
      <c r="F38" s="7"/>
      <c r="G38" s="7"/>
      <c r="H38" s="7"/>
    </row>
    <row r="39" spans="1:8" ht="15.75" customHeight="1" x14ac:dyDescent="0.35">
      <c r="A39" s="7" t="s">
        <v>284</v>
      </c>
      <c r="B39" s="12" t="s">
        <v>285</v>
      </c>
      <c r="C39" s="7"/>
      <c r="D39" s="7"/>
      <c r="E39" s="7"/>
      <c r="F39" s="7"/>
      <c r="G39" s="7"/>
      <c r="H39" s="7"/>
    </row>
    <row r="40" spans="1:8" ht="15.75" customHeight="1" x14ac:dyDescent="0.35">
      <c r="A40" s="7" t="s">
        <v>286</v>
      </c>
      <c r="B40" s="12" t="s">
        <v>287</v>
      </c>
      <c r="C40" s="7"/>
      <c r="D40" s="7"/>
      <c r="E40" s="7"/>
      <c r="F40" s="7"/>
      <c r="G40" s="7"/>
      <c r="H40" s="7"/>
    </row>
    <row r="41" spans="1:8" ht="15.75" customHeight="1" x14ac:dyDescent="0.35">
      <c r="A41" s="7" t="s">
        <v>288</v>
      </c>
      <c r="B41" s="12" t="s">
        <v>289</v>
      </c>
      <c r="C41" s="7"/>
      <c r="D41" s="7"/>
      <c r="E41" s="7"/>
      <c r="F41" s="7"/>
      <c r="G41" s="7"/>
      <c r="H41" s="7"/>
    </row>
    <row r="42" spans="1:8" ht="15.75" customHeight="1" x14ac:dyDescent="0.35">
      <c r="A42" s="7" t="s">
        <v>290</v>
      </c>
      <c r="B42" s="12" t="s">
        <v>291</v>
      </c>
      <c r="C42" s="7"/>
      <c r="D42" s="7"/>
      <c r="E42" s="7"/>
      <c r="F42" s="7"/>
      <c r="G42" s="7"/>
      <c r="H42" s="7"/>
    </row>
    <row r="43" spans="1:8" ht="15.75" customHeight="1" x14ac:dyDescent="0.35"/>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dataValidations count="1">
    <dataValidation type="list" allowBlank="1" sqref="B7" xr:uid="{00000000-0002-0000-0400-000000000000}">
      <formula1>"SMB,Mid,Enterprise"</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defaultColWidth="14.453125" defaultRowHeight="15" customHeight="1" x14ac:dyDescent="0.35"/>
  <cols>
    <col min="1" max="1" width="32" customWidth="1"/>
    <col min="2" max="4" width="40" customWidth="1"/>
    <col min="5" max="8" width="15" customWidth="1"/>
    <col min="9" max="26" width="8.7265625" customWidth="1"/>
  </cols>
  <sheetData>
    <row r="1" spans="1:8" ht="24" customHeight="1" x14ac:dyDescent="0.35">
      <c r="A1" s="3" t="s">
        <v>292</v>
      </c>
      <c r="B1" s="3"/>
      <c r="C1" s="3"/>
      <c r="D1" s="3"/>
      <c r="E1" s="3"/>
      <c r="F1" s="3"/>
      <c r="G1" s="3"/>
      <c r="H1" s="3"/>
    </row>
    <row r="2" spans="1:8" ht="14.5" customHeight="1" x14ac:dyDescent="0.35">
      <c r="A2" s="7" t="s">
        <v>293</v>
      </c>
      <c r="B2" s="7"/>
      <c r="C2" s="7"/>
      <c r="D2" s="7"/>
      <c r="E2" s="7"/>
      <c r="F2" s="7"/>
      <c r="G2" s="7"/>
      <c r="H2" s="7"/>
    </row>
    <row r="3" spans="1:8" ht="14.5" customHeight="1" x14ac:dyDescent="0.35">
      <c r="A3" s="7"/>
      <c r="B3" s="7"/>
      <c r="C3" s="7"/>
      <c r="D3" s="7"/>
      <c r="E3" s="7"/>
      <c r="F3" s="7"/>
      <c r="G3" s="7"/>
      <c r="H3" s="7"/>
    </row>
    <row r="4" spans="1:8" ht="14.5" customHeight="1" x14ac:dyDescent="0.35">
      <c r="A4" s="10" t="s">
        <v>294</v>
      </c>
      <c r="B4" s="11"/>
      <c r="C4" s="11"/>
      <c r="D4" s="11"/>
      <c r="E4" s="11"/>
      <c r="F4" s="11"/>
      <c r="G4" s="11"/>
      <c r="H4" s="11"/>
    </row>
    <row r="5" spans="1:8" ht="14.5" customHeight="1" x14ac:dyDescent="0.35">
      <c r="A5" s="7" t="s">
        <v>295</v>
      </c>
      <c r="B5" s="12" t="s">
        <v>296</v>
      </c>
      <c r="C5" s="7"/>
      <c r="D5" s="7"/>
      <c r="E5" s="7"/>
      <c r="F5" s="7"/>
      <c r="G5" s="7"/>
      <c r="H5" s="7"/>
    </row>
    <row r="6" spans="1:8" ht="14.5" customHeight="1" x14ac:dyDescent="0.35">
      <c r="A6" s="7" t="s">
        <v>297</v>
      </c>
      <c r="B6" s="12" t="s">
        <v>298</v>
      </c>
      <c r="C6" s="7"/>
      <c r="D6" s="7"/>
      <c r="E6" s="7"/>
      <c r="F6" s="7"/>
      <c r="G6" s="7"/>
      <c r="H6" s="7"/>
    </row>
    <row r="7" spans="1:8" ht="14.5" customHeight="1" x14ac:dyDescent="0.35">
      <c r="A7" s="7" t="s">
        <v>299</v>
      </c>
      <c r="B7" s="12" t="s">
        <v>300</v>
      </c>
      <c r="C7" s="7"/>
      <c r="D7" s="7"/>
      <c r="E7" s="7"/>
      <c r="F7" s="7"/>
      <c r="G7" s="7"/>
      <c r="H7" s="7"/>
    </row>
    <row r="8" spans="1:8" ht="14.5" customHeight="1" x14ac:dyDescent="0.35">
      <c r="A8" s="7" t="s">
        <v>301</v>
      </c>
      <c r="B8" s="12" t="s">
        <v>302</v>
      </c>
      <c r="C8" s="7"/>
      <c r="D8" s="7"/>
      <c r="E8" s="7"/>
      <c r="F8" s="7"/>
      <c r="G8" s="7"/>
      <c r="H8" s="7"/>
    </row>
    <row r="9" spans="1:8" ht="14.5" customHeight="1" x14ac:dyDescent="0.35">
      <c r="A9" s="7"/>
      <c r="B9" s="7"/>
      <c r="C9" s="7"/>
      <c r="D9" s="7"/>
      <c r="E9" s="7"/>
      <c r="F9" s="7"/>
      <c r="G9" s="7"/>
      <c r="H9" s="7"/>
    </row>
    <row r="10" spans="1:8" ht="14.5" customHeight="1" x14ac:dyDescent="0.35">
      <c r="A10" s="10" t="s">
        <v>303</v>
      </c>
      <c r="B10" s="11"/>
      <c r="C10" s="11"/>
      <c r="D10" s="11"/>
      <c r="E10" s="11"/>
      <c r="F10" s="11"/>
      <c r="G10" s="11"/>
      <c r="H10" s="11"/>
    </row>
    <row r="11" spans="1:8" ht="14.5" customHeight="1" x14ac:dyDescent="0.35">
      <c r="A11" s="25"/>
      <c r="B11" s="25" t="s">
        <v>304</v>
      </c>
      <c r="C11" s="25" t="s">
        <v>305</v>
      </c>
      <c r="D11" s="25" t="s">
        <v>306</v>
      </c>
      <c r="E11" s="7"/>
      <c r="F11" s="7"/>
      <c r="G11" s="7"/>
      <c r="H11" s="7"/>
    </row>
    <row r="12" spans="1:8" ht="30" customHeight="1" x14ac:dyDescent="0.35">
      <c r="A12" s="7" t="s">
        <v>307</v>
      </c>
      <c r="B12" s="31" t="s">
        <v>308</v>
      </c>
      <c r="C12" s="31" t="s">
        <v>309</v>
      </c>
      <c r="D12" s="31" t="s">
        <v>310</v>
      </c>
      <c r="E12" s="7"/>
      <c r="F12" s="7"/>
      <c r="G12" s="7"/>
      <c r="H12" s="7"/>
    </row>
    <row r="13" spans="1:8" ht="30" customHeight="1" x14ac:dyDescent="0.35">
      <c r="A13" s="7" t="s">
        <v>311</v>
      </c>
      <c r="B13" s="31" t="s">
        <v>312</v>
      </c>
      <c r="C13" s="31" t="s">
        <v>313</v>
      </c>
      <c r="D13" s="31" t="s">
        <v>314</v>
      </c>
      <c r="E13" s="7"/>
      <c r="F13" s="7"/>
      <c r="G13" s="7"/>
      <c r="H13" s="7"/>
    </row>
    <row r="14" spans="1:8" ht="30" customHeight="1" x14ac:dyDescent="0.35">
      <c r="A14" s="7" t="s">
        <v>315</v>
      </c>
      <c r="B14" s="31" t="s">
        <v>316</v>
      </c>
      <c r="C14" s="31" t="s">
        <v>317</v>
      </c>
      <c r="D14" s="31" t="s">
        <v>318</v>
      </c>
      <c r="E14" s="7"/>
      <c r="F14" s="7"/>
      <c r="G14" s="7"/>
      <c r="H14" s="7"/>
    </row>
    <row r="15" spans="1:8" ht="30" customHeight="1" x14ac:dyDescent="0.35">
      <c r="A15" s="7" t="s">
        <v>319</v>
      </c>
      <c r="B15" s="31" t="s">
        <v>320</v>
      </c>
      <c r="C15" s="31" t="s">
        <v>321</v>
      </c>
      <c r="D15" s="31" t="s">
        <v>322</v>
      </c>
      <c r="E15" s="7"/>
      <c r="F15" s="7"/>
      <c r="G15" s="7"/>
      <c r="H15" s="7"/>
    </row>
    <row r="16" spans="1:8" ht="30" customHeight="1" x14ac:dyDescent="0.35">
      <c r="A16" s="7" t="s">
        <v>323</v>
      </c>
      <c r="B16" s="31" t="s">
        <v>324</v>
      </c>
      <c r="C16" s="31" t="s">
        <v>325</v>
      </c>
      <c r="D16" s="31" t="s">
        <v>326</v>
      </c>
      <c r="E16" s="7"/>
      <c r="F16" s="7"/>
      <c r="G16" s="7"/>
      <c r="H16" s="7"/>
    </row>
    <row r="17" spans="1:8" ht="30" customHeight="1" x14ac:dyDescent="0.35">
      <c r="A17" s="7" t="s">
        <v>327</v>
      </c>
      <c r="B17" s="31" t="s">
        <v>328</v>
      </c>
      <c r="C17" s="31" t="s">
        <v>329</v>
      </c>
      <c r="D17" s="31" t="s">
        <v>330</v>
      </c>
      <c r="E17" s="7"/>
      <c r="F17" s="7"/>
      <c r="G17" s="7"/>
      <c r="H17" s="7"/>
    </row>
    <row r="18" spans="1:8" ht="30" customHeight="1" x14ac:dyDescent="0.35">
      <c r="A18" s="7" t="s">
        <v>331</v>
      </c>
      <c r="B18" s="31" t="s">
        <v>332</v>
      </c>
      <c r="C18" s="31" t="s">
        <v>333</v>
      </c>
      <c r="D18" s="31" t="s">
        <v>334</v>
      </c>
      <c r="E18" s="7"/>
      <c r="F18" s="7"/>
      <c r="G18" s="7"/>
      <c r="H18" s="7"/>
    </row>
    <row r="19" spans="1:8" ht="14.5" customHeight="1" x14ac:dyDescent="0.35">
      <c r="A19" s="7"/>
      <c r="B19" s="7"/>
      <c r="C19" s="7"/>
      <c r="D19" s="7"/>
      <c r="E19" s="7"/>
      <c r="F19" s="7"/>
      <c r="G19" s="7"/>
      <c r="H19" s="7"/>
    </row>
    <row r="20" spans="1:8" ht="14.5" customHeight="1" x14ac:dyDescent="0.35">
      <c r="A20" s="7"/>
      <c r="B20" s="7"/>
      <c r="C20" s="7"/>
      <c r="D20" s="7"/>
      <c r="E20" s="7"/>
      <c r="F20" s="7"/>
      <c r="G20" s="7"/>
      <c r="H20" s="7"/>
    </row>
    <row r="21" spans="1:8" ht="15.75" customHeight="1" x14ac:dyDescent="0.35">
      <c r="A21" s="10" t="s">
        <v>335</v>
      </c>
      <c r="B21" s="11"/>
      <c r="C21" s="11"/>
      <c r="D21" s="11"/>
      <c r="E21" s="11"/>
      <c r="F21" s="11"/>
      <c r="G21" s="11"/>
      <c r="H21" s="11"/>
    </row>
    <row r="22" spans="1:8" ht="15.75" customHeight="1" x14ac:dyDescent="0.35">
      <c r="A22" s="25" t="s">
        <v>336</v>
      </c>
      <c r="B22" s="25" t="s">
        <v>337</v>
      </c>
      <c r="C22" s="25" t="s">
        <v>338</v>
      </c>
      <c r="D22" s="25" t="s">
        <v>339</v>
      </c>
      <c r="E22" s="7"/>
      <c r="F22" s="7"/>
      <c r="G22" s="7"/>
      <c r="H22" s="7"/>
    </row>
    <row r="23" spans="1:8" ht="33.75" customHeight="1" x14ac:dyDescent="0.35">
      <c r="A23" s="7" t="s">
        <v>340</v>
      </c>
      <c r="B23" s="31" t="s">
        <v>287</v>
      </c>
      <c r="C23" s="31" t="s">
        <v>341</v>
      </c>
      <c r="D23" s="31" t="s">
        <v>342</v>
      </c>
      <c r="E23" s="7"/>
      <c r="F23" s="7"/>
      <c r="G23" s="7"/>
      <c r="H23" s="7"/>
    </row>
    <row r="24" spans="1:8" ht="33.75" customHeight="1" x14ac:dyDescent="0.35">
      <c r="A24" s="7" t="s">
        <v>343</v>
      </c>
      <c r="B24" s="31" t="s">
        <v>287</v>
      </c>
      <c r="C24" s="31" t="s">
        <v>344</v>
      </c>
      <c r="D24" s="31" t="s">
        <v>345</v>
      </c>
      <c r="E24" s="7"/>
      <c r="F24" s="7"/>
      <c r="G24" s="7"/>
      <c r="H24" s="7"/>
    </row>
    <row r="25" spans="1:8" ht="33.75" customHeight="1" x14ac:dyDescent="0.35">
      <c r="A25" s="7" t="s">
        <v>346</v>
      </c>
      <c r="B25" s="31" t="s">
        <v>347</v>
      </c>
      <c r="C25" s="31" t="s">
        <v>348</v>
      </c>
      <c r="D25" s="31" t="s">
        <v>349</v>
      </c>
      <c r="E25" s="7"/>
      <c r="F25" s="7"/>
      <c r="G25" s="7"/>
      <c r="H25" s="7"/>
    </row>
    <row r="26" spans="1:8" ht="15.75" customHeight="1" x14ac:dyDescent="0.35">
      <c r="A26" s="7"/>
      <c r="B26" s="7"/>
      <c r="C26" s="7"/>
      <c r="D26" s="7"/>
      <c r="E26" s="7"/>
      <c r="F26" s="7"/>
      <c r="G26" s="7"/>
      <c r="H26" s="7"/>
    </row>
    <row r="27" spans="1:8" ht="15.75" customHeight="1" x14ac:dyDescent="0.35">
      <c r="A27" s="7"/>
      <c r="B27" s="7"/>
      <c r="C27" s="7"/>
      <c r="D27" s="7"/>
      <c r="E27" s="7"/>
      <c r="F27" s="7"/>
      <c r="G27" s="7"/>
      <c r="H27" s="7"/>
    </row>
    <row r="28" spans="1:8" ht="15.75" customHeight="1" x14ac:dyDescent="0.35">
      <c r="A28" s="10" t="s">
        <v>350</v>
      </c>
      <c r="B28" s="11"/>
      <c r="C28" s="11"/>
      <c r="D28" s="11"/>
      <c r="E28" s="11"/>
      <c r="F28" s="11"/>
      <c r="G28" s="11"/>
      <c r="H28" s="11"/>
    </row>
    <row r="29" spans="1:8" ht="15.75" customHeight="1" x14ac:dyDescent="0.35">
      <c r="A29" s="7" t="s">
        <v>351</v>
      </c>
      <c r="B29" s="12" t="s">
        <v>352</v>
      </c>
      <c r="C29" s="7"/>
      <c r="D29" s="7"/>
      <c r="E29" s="7"/>
      <c r="F29" s="7"/>
      <c r="G29" s="7"/>
      <c r="H29" s="7"/>
    </row>
    <row r="30" spans="1:8" ht="15.75" customHeight="1" x14ac:dyDescent="0.35">
      <c r="A30" s="7" t="s">
        <v>353</v>
      </c>
      <c r="B30" s="12" t="s">
        <v>352</v>
      </c>
      <c r="C30" s="7"/>
      <c r="D30" s="7"/>
      <c r="E30" s="7"/>
      <c r="F30" s="7"/>
      <c r="G30" s="7"/>
      <c r="H30" s="7"/>
    </row>
    <row r="31" spans="1:8" ht="15.75" customHeight="1" x14ac:dyDescent="0.35">
      <c r="A31" s="7" t="s">
        <v>354</v>
      </c>
      <c r="B31" s="12" t="s">
        <v>352</v>
      </c>
      <c r="C31" s="7"/>
      <c r="D31" s="7"/>
      <c r="E31" s="7"/>
      <c r="F31" s="7"/>
      <c r="G31" s="7"/>
      <c r="H31" s="7"/>
    </row>
    <row r="32" spans="1:8" ht="15.75" customHeight="1" x14ac:dyDescent="0.35">
      <c r="A32" s="7" t="s">
        <v>355</v>
      </c>
      <c r="B32" s="12">
        <v>0</v>
      </c>
      <c r="C32" s="7"/>
      <c r="D32" s="7"/>
      <c r="E32" s="7"/>
      <c r="F32" s="7"/>
      <c r="G32" s="7"/>
      <c r="H32" s="7"/>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4.453125" defaultRowHeight="15" customHeight="1" x14ac:dyDescent="0.35"/>
  <cols>
    <col min="1" max="1" width="28" customWidth="1"/>
    <col min="2" max="2" width="36" customWidth="1"/>
    <col min="3" max="3" width="22" customWidth="1"/>
    <col min="4" max="4" width="18" customWidth="1"/>
    <col min="5" max="5" width="65" customWidth="1"/>
    <col min="6" max="8" width="15" customWidth="1"/>
    <col min="9" max="26" width="8.7265625" customWidth="1"/>
  </cols>
  <sheetData>
    <row r="1" spans="1:8" ht="24" customHeight="1" x14ac:dyDescent="0.35">
      <c r="A1" s="3" t="s">
        <v>356</v>
      </c>
      <c r="B1" s="3"/>
      <c r="C1" s="3"/>
      <c r="D1" s="3"/>
      <c r="E1" s="3"/>
      <c r="F1" s="3"/>
      <c r="G1" s="3"/>
      <c r="H1" s="3"/>
    </row>
    <row r="2" spans="1:8" ht="14.5" customHeight="1" x14ac:dyDescent="0.35">
      <c r="A2" s="7" t="s">
        <v>357</v>
      </c>
      <c r="B2" s="7"/>
      <c r="C2" s="7"/>
      <c r="D2" s="7"/>
      <c r="E2" s="7"/>
      <c r="F2" s="7"/>
      <c r="G2" s="7"/>
      <c r="H2" s="7"/>
    </row>
    <row r="3" spans="1:8" ht="14.5" customHeight="1" x14ac:dyDescent="0.35">
      <c r="A3" s="7" t="s">
        <v>358</v>
      </c>
      <c r="B3" s="12" t="s">
        <v>18</v>
      </c>
      <c r="C3" s="7"/>
      <c r="D3" s="7"/>
      <c r="E3" s="7"/>
      <c r="F3" s="7"/>
      <c r="G3" s="7"/>
      <c r="H3" s="7"/>
    </row>
    <row r="4" spans="1:8" ht="14.5" customHeight="1" x14ac:dyDescent="0.35">
      <c r="A4" s="7"/>
      <c r="B4" s="7"/>
      <c r="C4" s="7"/>
      <c r="D4" s="7"/>
      <c r="E4" s="7"/>
      <c r="F4" s="7"/>
      <c r="G4" s="7"/>
      <c r="H4" s="7"/>
    </row>
    <row r="5" spans="1:8" ht="14.5" customHeight="1" x14ac:dyDescent="0.35">
      <c r="A5" s="32" t="s">
        <v>359</v>
      </c>
      <c r="B5" s="32" t="s">
        <v>360</v>
      </c>
      <c r="C5" s="32" t="s">
        <v>361</v>
      </c>
      <c r="D5" s="32" t="s">
        <v>22</v>
      </c>
      <c r="E5" s="32" t="s">
        <v>362</v>
      </c>
      <c r="F5" s="7"/>
      <c r="G5" s="7"/>
      <c r="H5" s="7"/>
    </row>
    <row r="6" spans="1:8" ht="14.5" customHeight="1" x14ac:dyDescent="0.35">
      <c r="A6" s="33" t="s">
        <v>145</v>
      </c>
      <c r="B6" s="33" t="s">
        <v>363</v>
      </c>
      <c r="C6" s="33" t="s">
        <v>364</v>
      </c>
      <c r="D6" s="33" t="s">
        <v>365</v>
      </c>
      <c r="E6" s="34" t="s">
        <v>366</v>
      </c>
      <c r="F6" s="7"/>
      <c r="G6" s="7"/>
      <c r="H6" s="7"/>
    </row>
    <row r="7" spans="1:8" ht="14.5" customHeight="1" x14ac:dyDescent="0.35">
      <c r="A7" s="33" t="s">
        <v>145</v>
      </c>
      <c r="B7" s="33" t="s">
        <v>367</v>
      </c>
      <c r="C7" s="33" t="s">
        <v>368</v>
      </c>
      <c r="D7" s="33" t="s">
        <v>365</v>
      </c>
      <c r="E7" s="34" t="s">
        <v>366</v>
      </c>
      <c r="F7" s="7"/>
      <c r="G7" s="7"/>
      <c r="H7" s="7"/>
    </row>
    <row r="8" spans="1:8" ht="14.5" customHeight="1" x14ac:dyDescent="0.35">
      <c r="A8" s="33" t="s">
        <v>145</v>
      </c>
      <c r="B8" s="33" t="s">
        <v>369</v>
      </c>
      <c r="C8" s="33" t="s">
        <v>370</v>
      </c>
      <c r="D8" s="33" t="s">
        <v>365</v>
      </c>
      <c r="E8" s="34" t="s">
        <v>366</v>
      </c>
      <c r="F8" s="7"/>
      <c r="G8" s="7"/>
      <c r="H8" s="7"/>
    </row>
    <row r="9" spans="1:8" ht="14.5" customHeight="1" x14ac:dyDescent="0.35">
      <c r="A9" s="33" t="s">
        <v>145</v>
      </c>
      <c r="B9" s="33" t="s">
        <v>371</v>
      </c>
      <c r="C9" s="33" t="s">
        <v>372</v>
      </c>
      <c r="D9" s="33" t="s">
        <v>373</v>
      </c>
      <c r="E9" s="34" t="s">
        <v>366</v>
      </c>
      <c r="F9" s="7"/>
      <c r="G9" s="7"/>
      <c r="H9" s="7"/>
    </row>
    <row r="10" spans="1:8" ht="24" customHeight="1" x14ac:dyDescent="0.35">
      <c r="A10" s="33" t="s">
        <v>145</v>
      </c>
      <c r="B10" s="33" t="s">
        <v>374</v>
      </c>
      <c r="C10" s="33" t="s">
        <v>375</v>
      </c>
      <c r="D10" s="33" t="s">
        <v>365</v>
      </c>
      <c r="E10" s="34" t="s">
        <v>376</v>
      </c>
      <c r="F10" s="7"/>
      <c r="G10" s="7"/>
      <c r="H10" s="7"/>
    </row>
    <row r="11" spans="1:8" ht="14.5" customHeight="1" x14ac:dyDescent="0.35">
      <c r="A11" s="33" t="s">
        <v>145</v>
      </c>
      <c r="B11" s="33" t="s">
        <v>377</v>
      </c>
      <c r="C11" s="33" t="s">
        <v>378</v>
      </c>
      <c r="D11" s="33" t="s">
        <v>365</v>
      </c>
      <c r="E11" s="34" t="s">
        <v>379</v>
      </c>
      <c r="F11" s="7"/>
      <c r="G11" s="7"/>
      <c r="H11" s="7"/>
    </row>
    <row r="12" spans="1:8" ht="14.5" customHeight="1" x14ac:dyDescent="0.35">
      <c r="A12" s="33" t="s">
        <v>145</v>
      </c>
      <c r="B12" s="33" t="s">
        <v>380</v>
      </c>
      <c r="C12" s="33" t="s">
        <v>381</v>
      </c>
      <c r="D12" s="33" t="s">
        <v>373</v>
      </c>
      <c r="E12" s="34" t="s">
        <v>379</v>
      </c>
      <c r="F12" s="7"/>
      <c r="G12" s="7"/>
      <c r="H12" s="7"/>
    </row>
    <row r="13" spans="1:8" ht="14.5" customHeight="1" x14ac:dyDescent="0.35">
      <c r="A13" s="33" t="s">
        <v>145</v>
      </c>
      <c r="B13" s="33" t="s">
        <v>382</v>
      </c>
      <c r="C13" s="33" t="s">
        <v>383</v>
      </c>
      <c r="D13" s="33" t="s">
        <v>365</v>
      </c>
      <c r="E13" s="34" t="s">
        <v>384</v>
      </c>
      <c r="F13" s="7"/>
      <c r="G13" s="7"/>
      <c r="H13" s="7"/>
    </row>
    <row r="14" spans="1:8" ht="24" customHeight="1" x14ac:dyDescent="0.35">
      <c r="A14" s="33" t="s">
        <v>145</v>
      </c>
      <c r="B14" s="33" t="s">
        <v>385</v>
      </c>
      <c r="C14" s="33" t="s">
        <v>386</v>
      </c>
      <c r="D14" s="33" t="s">
        <v>365</v>
      </c>
      <c r="E14" s="34" t="s">
        <v>387</v>
      </c>
      <c r="F14" s="7"/>
      <c r="G14" s="7"/>
      <c r="H14" s="7"/>
    </row>
    <row r="15" spans="1:8" ht="14.5" customHeight="1" x14ac:dyDescent="0.35">
      <c r="A15" s="33" t="s">
        <v>388</v>
      </c>
      <c r="B15" s="33" t="s">
        <v>389</v>
      </c>
      <c r="C15" s="33" t="s">
        <v>390</v>
      </c>
      <c r="D15" s="33" t="s">
        <v>391</v>
      </c>
      <c r="E15" s="34" t="s">
        <v>392</v>
      </c>
      <c r="F15" s="7"/>
      <c r="G15" s="7"/>
      <c r="H15" s="7"/>
    </row>
    <row r="16" spans="1:8" ht="14.5" customHeight="1" x14ac:dyDescent="0.35">
      <c r="A16" s="33" t="s">
        <v>388</v>
      </c>
      <c r="B16" s="33" t="s">
        <v>393</v>
      </c>
      <c r="C16" s="33" t="s">
        <v>394</v>
      </c>
      <c r="D16" s="33" t="s">
        <v>391</v>
      </c>
      <c r="E16" s="34" t="s">
        <v>395</v>
      </c>
      <c r="F16" s="7"/>
      <c r="G16" s="7"/>
      <c r="H16" s="7"/>
    </row>
    <row r="17" spans="1:8" ht="14.5" customHeight="1" x14ac:dyDescent="0.35">
      <c r="A17" s="33" t="s">
        <v>388</v>
      </c>
      <c r="B17" s="33" t="s">
        <v>396</v>
      </c>
      <c r="C17" s="33" t="s">
        <v>397</v>
      </c>
      <c r="D17" s="33" t="s">
        <v>391</v>
      </c>
      <c r="E17" s="34" t="s">
        <v>398</v>
      </c>
      <c r="F17" s="7"/>
      <c r="G17" s="7"/>
      <c r="H17" s="7"/>
    </row>
    <row r="18" spans="1:8" ht="14.5" customHeight="1" x14ac:dyDescent="0.35">
      <c r="A18" s="33" t="s">
        <v>388</v>
      </c>
      <c r="B18" s="33" t="s">
        <v>399</v>
      </c>
      <c r="C18" s="33" t="s">
        <v>400</v>
      </c>
      <c r="D18" s="33" t="s">
        <v>391</v>
      </c>
      <c r="E18" s="34" t="s">
        <v>379</v>
      </c>
      <c r="F18" s="7"/>
      <c r="G18" s="7"/>
      <c r="H18" s="7"/>
    </row>
    <row r="19" spans="1:8" ht="14.5" customHeight="1" x14ac:dyDescent="0.35">
      <c r="A19" s="33" t="s">
        <v>401</v>
      </c>
      <c r="B19" s="33" t="s">
        <v>402</v>
      </c>
      <c r="C19" s="33" t="s">
        <v>403</v>
      </c>
      <c r="D19" s="33" t="s">
        <v>404</v>
      </c>
      <c r="E19" s="34" t="s">
        <v>405</v>
      </c>
      <c r="F19" s="7"/>
      <c r="G19" s="7"/>
      <c r="H19" s="7"/>
    </row>
    <row r="20" spans="1:8" ht="14.5" customHeight="1" x14ac:dyDescent="0.35">
      <c r="A20" s="33" t="s">
        <v>401</v>
      </c>
      <c r="B20" s="33" t="s">
        <v>406</v>
      </c>
      <c r="C20" s="33" t="s">
        <v>407</v>
      </c>
      <c r="D20" s="33" t="s">
        <v>404</v>
      </c>
      <c r="E20" s="34" t="s">
        <v>379</v>
      </c>
      <c r="F20" s="7"/>
      <c r="G20" s="7"/>
      <c r="H20" s="7"/>
    </row>
    <row r="21" spans="1:8" ht="15.75" customHeight="1" x14ac:dyDescent="0.35">
      <c r="A21" s="33" t="s">
        <v>401</v>
      </c>
      <c r="B21" s="33" t="s">
        <v>408</v>
      </c>
      <c r="C21" s="33" t="s">
        <v>409</v>
      </c>
      <c r="D21" s="33" t="s">
        <v>404</v>
      </c>
      <c r="E21" s="34" t="s">
        <v>410</v>
      </c>
      <c r="F21" s="7"/>
      <c r="G21" s="7"/>
      <c r="H21" s="7"/>
    </row>
    <row r="22" spans="1:8" ht="15.75" customHeight="1" x14ac:dyDescent="0.35">
      <c r="A22" s="33" t="s">
        <v>401</v>
      </c>
      <c r="B22" s="33" t="s">
        <v>411</v>
      </c>
      <c r="C22" s="33" t="s">
        <v>412</v>
      </c>
      <c r="D22" s="33" t="s">
        <v>404</v>
      </c>
      <c r="E22" s="34" t="s">
        <v>410</v>
      </c>
      <c r="F22" s="7"/>
      <c r="G22" s="7"/>
      <c r="H22" s="7"/>
    </row>
    <row r="23" spans="1:8" ht="15.75" customHeight="1" x14ac:dyDescent="0.35">
      <c r="A23" s="33" t="s">
        <v>413</v>
      </c>
      <c r="B23" s="33" t="s">
        <v>414</v>
      </c>
      <c r="C23" s="33" t="s">
        <v>415</v>
      </c>
      <c r="D23" s="33" t="s">
        <v>416</v>
      </c>
      <c r="E23" s="34" t="s">
        <v>417</v>
      </c>
      <c r="F23" s="7"/>
      <c r="G23" s="7"/>
      <c r="H23" s="7"/>
    </row>
    <row r="24" spans="1:8" ht="15.75" customHeight="1" x14ac:dyDescent="0.35">
      <c r="A24" s="33" t="s">
        <v>418</v>
      </c>
      <c r="B24" s="33" t="s">
        <v>419</v>
      </c>
      <c r="C24" s="33" t="s">
        <v>420</v>
      </c>
      <c r="D24" s="33" t="s">
        <v>421</v>
      </c>
      <c r="E24" s="34" t="s">
        <v>422</v>
      </c>
      <c r="F24" s="7"/>
      <c r="G24" s="7"/>
      <c r="H24" s="7"/>
    </row>
    <row r="25" spans="1:8" ht="15.75" customHeight="1" x14ac:dyDescent="0.35">
      <c r="A25" s="33" t="s">
        <v>418</v>
      </c>
      <c r="B25" s="33" t="s">
        <v>423</v>
      </c>
      <c r="C25" s="33" t="s">
        <v>424</v>
      </c>
      <c r="D25" s="33" t="s">
        <v>421</v>
      </c>
      <c r="E25" s="34" t="s">
        <v>425</v>
      </c>
      <c r="F25" s="7"/>
      <c r="G25" s="7"/>
      <c r="H25" s="7"/>
    </row>
    <row r="26" spans="1:8" ht="15.75" customHeight="1" x14ac:dyDescent="0.35">
      <c r="A26" s="33" t="s">
        <v>418</v>
      </c>
      <c r="B26" s="33" t="s">
        <v>426</v>
      </c>
      <c r="C26" s="33" t="s">
        <v>427</v>
      </c>
      <c r="D26" s="33" t="s">
        <v>373</v>
      </c>
      <c r="E26" s="34" t="s">
        <v>428</v>
      </c>
      <c r="F26" s="7"/>
      <c r="G26" s="7"/>
      <c r="H26" s="7"/>
    </row>
    <row r="27" spans="1:8" ht="15.75" customHeight="1" x14ac:dyDescent="0.35">
      <c r="A27" s="33" t="s">
        <v>429</v>
      </c>
      <c r="B27" s="33" t="s">
        <v>430</v>
      </c>
      <c r="C27" s="33" t="s">
        <v>431</v>
      </c>
      <c r="D27" s="33" t="s">
        <v>432</v>
      </c>
      <c r="E27" s="34" t="s">
        <v>433</v>
      </c>
      <c r="F27" s="7"/>
      <c r="G27" s="7"/>
      <c r="H27" s="7"/>
    </row>
    <row r="28" spans="1:8" ht="15.75" customHeight="1" x14ac:dyDescent="0.35">
      <c r="A28" s="33" t="s">
        <v>429</v>
      </c>
      <c r="B28" s="33" t="s">
        <v>434</v>
      </c>
      <c r="C28" s="33" t="s">
        <v>435</v>
      </c>
      <c r="D28" s="33" t="s">
        <v>432</v>
      </c>
      <c r="E28" s="34" t="s">
        <v>433</v>
      </c>
      <c r="F28" s="7"/>
      <c r="G28" s="7"/>
      <c r="H28" s="7"/>
    </row>
    <row r="29" spans="1:8" ht="15.75" customHeight="1" x14ac:dyDescent="0.35">
      <c r="A29" s="33" t="s">
        <v>429</v>
      </c>
      <c r="B29" s="33" t="s">
        <v>436</v>
      </c>
      <c r="C29" s="33" t="s">
        <v>437</v>
      </c>
      <c r="D29" s="33" t="s">
        <v>438</v>
      </c>
      <c r="E29" s="34" t="s">
        <v>439</v>
      </c>
      <c r="F29" s="7"/>
      <c r="G29" s="7"/>
      <c r="H29" s="7"/>
    </row>
    <row r="30" spans="1:8" ht="15.75" customHeight="1" x14ac:dyDescent="0.35">
      <c r="A30" s="33" t="s">
        <v>429</v>
      </c>
      <c r="B30" s="33" t="s">
        <v>440</v>
      </c>
      <c r="C30" s="33" t="s">
        <v>441</v>
      </c>
      <c r="D30" s="33" t="s">
        <v>442</v>
      </c>
      <c r="E30" s="34" t="s">
        <v>443</v>
      </c>
      <c r="F30" s="7"/>
      <c r="G30" s="7"/>
      <c r="H30" s="7"/>
    </row>
    <row r="31" spans="1:8" ht="15.75" customHeight="1" x14ac:dyDescent="0.35">
      <c r="A31" s="33" t="s">
        <v>429</v>
      </c>
      <c r="B31" s="33" t="s">
        <v>444</v>
      </c>
      <c r="C31" s="33" t="s">
        <v>445</v>
      </c>
      <c r="D31" s="33" t="s">
        <v>446</v>
      </c>
      <c r="E31" s="34" t="s">
        <v>443</v>
      </c>
      <c r="F31" s="7"/>
      <c r="G31" s="7"/>
      <c r="H31" s="7"/>
    </row>
    <row r="32" spans="1:8" ht="15.75" customHeight="1" x14ac:dyDescent="0.35">
      <c r="A32" s="33" t="s">
        <v>429</v>
      </c>
      <c r="B32" s="33" t="s">
        <v>447</v>
      </c>
      <c r="C32" s="33" t="s">
        <v>448</v>
      </c>
      <c r="D32" s="33" t="s">
        <v>442</v>
      </c>
      <c r="E32" s="34" t="s">
        <v>449</v>
      </c>
      <c r="F32" s="7"/>
      <c r="G32" s="7"/>
      <c r="H32" s="7"/>
    </row>
    <row r="33" spans="1:8" ht="15.75" customHeight="1" x14ac:dyDescent="0.35">
      <c r="A33" s="33" t="s">
        <v>429</v>
      </c>
      <c r="B33" s="33" t="s">
        <v>450</v>
      </c>
      <c r="C33" s="33" t="s">
        <v>451</v>
      </c>
      <c r="D33" s="33" t="s">
        <v>452</v>
      </c>
      <c r="E33" s="34" t="s">
        <v>449</v>
      </c>
      <c r="F33" s="7"/>
      <c r="G33" s="7"/>
      <c r="H33" s="7"/>
    </row>
    <row r="34" spans="1:8" ht="15.75" customHeight="1" x14ac:dyDescent="0.35">
      <c r="A34" s="33" t="s">
        <v>429</v>
      </c>
      <c r="B34" s="33" t="s">
        <v>453</v>
      </c>
      <c r="C34" s="33" t="s">
        <v>454</v>
      </c>
      <c r="D34" s="33" t="s">
        <v>455</v>
      </c>
      <c r="E34" s="34" t="s">
        <v>456</v>
      </c>
      <c r="F34" s="7"/>
      <c r="G34" s="7"/>
      <c r="H34" s="7"/>
    </row>
    <row r="35" spans="1:8" ht="15.75" customHeight="1" x14ac:dyDescent="0.35">
      <c r="A35" s="33" t="s">
        <v>457</v>
      </c>
      <c r="B35" s="33" t="s">
        <v>458</v>
      </c>
      <c r="C35" s="33" t="s">
        <v>459</v>
      </c>
      <c r="D35" s="33" t="s">
        <v>32</v>
      </c>
      <c r="E35" s="34" t="s">
        <v>460</v>
      </c>
      <c r="F35" s="7"/>
      <c r="G35" s="7"/>
      <c r="H35" s="7"/>
    </row>
    <row r="36" spans="1:8" ht="15.75" customHeight="1" x14ac:dyDescent="0.35">
      <c r="A36" s="33" t="s">
        <v>457</v>
      </c>
      <c r="B36" s="33" t="s">
        <v>461</v>
      </c>
      <c r="C36" s="33" t="s">
        <v>462</v>
      </c>
      <c r="D36" s="33" t="s">
        <v>32</v>
      </c>
      <c r="E36" s="34" t="s">
        <v>463</v>
      </c>
      <c r="F36" s="7"/>
      <c r="G36" s="7"/>
      <c r="H36" s="7"/>
    </row>
    <row r="37" spans="1:8" ht="15.75" customHeight="1" x14ac:dyDescent="0.35">
      <c r="A37" s="33" t="s">
        <v>457</v>
      </c>
      <c r="B37" s="33" t="s">
        <v>464</v>
      </c>
      <c r="C37" s="33" t="s">
        <v>465</v>
      </c>
      <c r="D37" s="33" t="s">
        <v>32</v>
      </c>
      <c r="E37" s="34" t="s">
        <v>466</v>
      </c>
      <c r="F37" s="7"/>
      <c r="G37" s="7"/>
      <c r="H37" s="7"/>
    </row>
    <row r="38" spans="1:8" ht="15.75" customHeight="1" x14ac:dyDescent="0.35">
      <c r="A38" s="33" t="s">
        <v>457</v>
      </c>
      <c r="B38" s="33" t="s">
        <v>467</v>
      </c>
      <c r="C38" s="33" t="s">
        <v>468</v>
      </c>
      <c r="D38" s="33" t="s">
        <v>248</v>
      </c>
      <c r="E38" s="34" t="s">
        <v>463</v>
      </c>
      <c r="F38" s="7"/>
      <c r="G38" s="7"/>
      <c r="H38" s="7"/>
    </row>
    <row r="39" spans="1:8" ht="15.75" customHeight="1" x14ac:dyDescent="0.35">
      <c r="A39" s="33" t="s">
        <v>457</v>
      </c>
      <c r="B39" s="33" t="s">
        <v>469</v>
      </c>
      <c r="C39" s="33" t="s">
        <v>470</v>
      </c>
      <c r="D39" s="33" t="s">
        <v>471</v>
      </c>
      <c r="E39" s="34" t="s">
        <v>472</v>
      </c>
      <c r="F39" s="7"/>
      <c r="G39" s="7"/>
      <c r="H39" s="7"/>
    </row>
    <row r="40" spans="1:8" ht="15.75" customHeight="1" x14ac:dyDescent="0.35">
      <c r="A40" s="33" t="s">
        <v>457</v>
      </c>
      <c r="B40" s="33" t="s">
        <v>473</v>
      </c>
      <c r="C40" s="33" t="s">
        <v>474</v>
      </c>
      <c r="D40" s="33" t="s">
        <v>475</v>
      </c>
      <c r="E40" s="34" t="s">
        <v>476</v>
      </c>
      <c r="F40" s="7"/>
      <c r="G40" s="7"/>
      <c r="H40" s="7"/>
    </row>
    <row r="41" spans="1:8" ht="15.75" customHeight="1" x14ac:dyDescent="0.35">
      <c r="A41" s="33" t="s">
        <v>457</v>
      </c>
      <c r="B41" s="33" t="s">
        <v>477</v>
      </c>
      <c r="C41" s="33" t="s">
        <v>478</v>
      </c>
      <c r="D41" s="33" t="s">
        <v>479</v>
      </c>
      <c r="E41" s="34" t="s">
        <v>480</v>
      </c>
      <c r="F41" s="7"/>
      <c r="G41" s="7"/>
      <c r="H41" s="7"/>
    </row>
    <row r="42" spans="1:8" ht="15.75" customHeight="1" x14ac:dyDescent="0.35">
      <c r="A42" s="7"/>
      <c r="B42" s="7"/>
      <c r="C42" s="7"/>
      <c r="D42" s="7"/>
      <c r="E42" s="7"/>
      <c r="F42" s="7"/>
      <c r="G42" s="7"/>
      <c r="H42" s="7"/>
    </row>
    <row r="43" spans="1:8" ht="15.75" customHeight="1" x14ac:dyDescent="0.35">
      <c r="A43" s="7" t="s">
        <v>481</v>
      </c>
      <c r="B43" s="7"/>
      <c r="C43" s="7"/>
      <c r="D43" s="7"/>
      <c r="E43" s="7"/>
      <c r="F43" s="7"/>
      <c r="G43" s="7"/>
      <c r="H43" s="7"/>
    </row>
    <row r="44" spans="1:8" ht="15.75" customHeight="1" x14ac:dyDescent="0.35"/>
    <row r="45" spans="1:8" ht="15.75" customHeight="1" x14ac:dyDescent="0.35"/>
    <row r="46" spans="1:8" ht="15.75" customHeight="1" x14ac:dyDescent="0.35"/>
    <row r="47" spans="1:8" ht="15.75" customHeight="1" x14ac:dyDescent="0.35"/>
    <row r="48" spans="1: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Ninh Minh (Student)</cp:lastModifiedBy>
  <dcterms:created xsi:type="dcterms:W3CDTF">2026-08-26T15:07:08Z</dcterms:created>
  <dcterms:modified xsi:type="dcterms:W3CDTF">2026-10-08T10:54:59Z</dcterms:modified>
</cp:coreProperties>
</file>